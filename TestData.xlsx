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min.abedini\Desktop\Projects\Phathom\Development summary C1-C6\Data\Mfg\Compression\Phathom Compression C1-C6\"/>
    </mc:Choice>
  </mc:AlternateContent>
  <xr:revisionPtr revIDLastSave="0" documentId="13_ncr:1_{90B8AE00-710C-4278-8B30-B4E6596AEB60}" xr6:coauthVersionLast="47" xr6:coauthVersionMax="47" xr10:uidLastSave="{00000000-0000-0000-0000-000000000000}"/>
  <bookViews>
    <workbookView xWindow="-28620" yWindow="-2085" windowWidth="14790" windowHeight="14175" activeTab="3" xr2:uid="{00000000-000D-0000-FFFF-FFFF00000000}"/>
  </bookViews>
  <sheets>
    <sheet name="Weight" sheetId="2" r:id="rId1"/>
    <sheet name="Thickness" sheetId="3" r:id="rId2"/>
    <sheet name="Hardness" sheetId="4" r:id="rId3"/>
    <sheet name="IP" sheetId="1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" i="2" l="1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B1" i="4"/>
  <c r="AL13" i="3"/>
  <c r="AL15" i="3" s="1"/>
  <c r="AM13" i="3"/>
  <c r="AM15" i="3" s="1"/>
  <c r="AL14" i="3"/>
  <c r="AM14" i="3"/>
  <c r="AL16" i="3"/>
  <c r="AM16" i="3"/>
  <c r="AL17" i="3"/>
  <c r="AM17" i="3"/>
  <c r="AL13" i="4"/>
  <c r="AM13" i="4"/>
  <c r="AL14" i="4"/>
  <c r="AL15" i="4" s="1"/>
  <c r="AM14" i="4"/>
  <c r="AM15" i="4"/>
  <c r="AL16" i="4"/>
  <c r="AM16" i="4"/>
  <c r="AL17" i="4"/>
  <c r="AM17" i="4"/>
  <c r="AL13" i="2"/>
  <c r="AM13" i="2"/>
  <c r="AL14" i="2"/>
  <c r="AL15" i="2" s="1"/>
  <c r="AM14" i="2"/>
  <c r="AM15" i="2" s="1"/>
  <c r="AL16" i="2"/>
  <c r="AM16" i="2"/>
  <c r="AL17" i="2"/>
  <c r="AM17" i="2"/>
  <c r="AD17" i="3"/>
  <c r="AD16" i="3"/>
  <c r="AD14" i="3"/>
  <c r="AD13" i="3"/>
  <c r="AC13" i="2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T17" i="3"/>
  <c r="U17" i="3"/>
  <c r="V17" i="3"/>
  <c r="W17" i="3"/>
  <c r="X17" i="3"/>
  <c r="Y17" i="3"/>
  <c r="Z17" i="3"/>
  <c r="AA17" i="3"/>
  <c r="AB17" i="3"/>
  <c r="AC17" i="3"/>
  <c r="AE17" i="3"/>
  <c r="AF17" i="3"/>
  <c r="AG17" i="3"/>
  <c r="AH17" i="3"/>
  <c r="AI17" i="3"/>
  <c r="AJ17" i="3"/>
  <c r="AK17" i="3"/>
  <c r="T16" i="3"/>
  <c r="U16" i="3"/>
  <c r="V16" i="3"/>
  <c r="W16" i="3"/>
  <c r="X16" i="3"/>
  <c r="Y16" i="3"/>
  <c r="Z16" i="3"/>
  <c r="AA16" i="3"/>
  <c r="AB16" i="3"/>
  <c r="AC16" i="3"/>
  <c r="AE16" i="3"/>
  <c r="AF16" i="3"/>
  <c r="AG16" i="3"/>
  <c r="AH16" i="3"/>
  <c r="AI16" i="3"/>
  <c r="AJ16" i="3"/>
  <c r="AK16" i="3"/>
  <c r="T14" i="3"/>
  <c r="U14" i="3"/>
  <c r="V14" i="3"/>
  <c r="W14" i="3"/>
  <c r="X14" i="3"/>
  <c r="Y14" i="3"/>
  <c r="Z14" i="3"/>
  <c r="AA14" i="3"/>
  <c r="AB14" i="3"/>
  <c r="AC14" i="3"/>
  <c r="AE14" i="3"/>
  <c r="AF14" i="3"/>
  <c r="AG14" i="3"/>
  <c r="AH14" i="3"/>
  <c r="AI14" i="3"/>
  <c r="AJ14" i="3"/>
  <c r="AK14" i="3"/>
  <c r="T13" i="3"/>
  <c r="U13" i="3"/>
  <c r="V13" i="3"/>
  <c r="W13" i="3"/>
  <c r="X13" i="3"/>
  <c r="Y13" i="3"/>
  <c r="Z13" i="3"/>
  <c r="AA13" i="3"/>
  <c r="AB13" i="3"/>
  <c r="AC13" i="3"/>
  <c r="AE13" i="3"/>
  <c r="AF13" i="3"/>
  <c r="AG13" i="3"/>
  <c r="AH13" i="3"/>
  <c r="AI13" i="3"/>
  <c r="AJ13" i="3"/>
  <c r="AK13" i="3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S14" i="2"/>
  <c r="T13" i="2"/>
  <c r="U13" i="2"/>
  <c r="V13" i="2"/>
  <c r="W13" i="2"/>
  <c r="X13" i="2"/>
  <c r="Y13" i="2"/>
  <c r="Z13" i="2"/>
  <c r="AA13" i="2"/>
  <c r="AB13" i="2"/>
  <c r="AD13" i="2"/>
  <c r="AE13" i="2"/>
  <c r="AF13" i="2"/>
  <c r="AG13" i="2"/>
  <c r="AH13" i="2"/>
  <c r="AI13" i="2"/>
  <c r="AJ13" i="2"/>
  <c r="AK13" i="2"/>
  <c r="P17" i="4"/>
  <c r="Q17" i="4"/>
  <c r="R17" i="4"/>
  <c r="S17" i="4"/>
  <c r="P16" i="4"/>
  <c r="Q16" i="4"/>
  <c r="R16" i="4"/>
  <c r="S16" i="4"/>
  <c r="P14" i="4"/>
  <c r="Q14" i="4"/>
  <c r="R14" i="4"/>
  <c r="S14" i="4"/>
  <c r="P13" i="4"/>
  <c r="Q13" i="4"/>
  <c r="R13" i="4"/>
  <c r="S13" i="4"/>
  <c r="P17" i="3"/>
  <c r="Q17" i="3"/>
  <c r="R17" i="3"/>
  <c r="S17" i="3"/>
  <c r="P16" i="3"/>
  <c r="Q16" i="3"/>
  <c r="R16" i="3"/>
  <c r="S16" i="3"/>
  <c r="P14" i="3"/>
  <c r="Q14" i="3"/>
  <c r="R14" i="3"/>
  <c r="S14" i="3"/>
  <c r="P13" i="3"/>
  <c r="Q13" i="3"/>
  <c r="R13" i="3"/>
  <c r="S13" i="3"/>
  <c r="P17" i="2"/>
  <c r="Q17" i="2"/>
  <c r="R17" i="2"/>
  <c r="S17" i="2"/>
  <c r="P16" i="2"/>
  <c r="Q16" i="2"/>
  <c r="R16" i="2"/>
  <c r="S16" i="2"/>
  <c r="P14" i="2"/>
  <c r="Q14" i="2"/>
  <c r="R14" i="2"/>
  <c r="P13" i="2"/>
  <c r="Q13" i="2"/>
  <c r="R13" i="2"/>
  <c r="S13" i="2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D15" i="3" l="1"/>
  <c r="AF15" i="4"/>
  <c r="Q15" i="4"/>
  <c r="X15" i="2"/>
  <c r="AK15" i="4"/>
  <c r="AJ15" i="4"/>
  <c r="AK15" i="3"/>
  <c r="AK15" i="2"/>
  <c r="AJ15" i="2"/>
  <c r="AI15" i="4"/>
  <c r="AH15" i="4"/>
  <c r="AI15" i="3"/>
  <c r="AH15" i="3"/>
  <c r="AI15" i="2"/>
  <c r="AH15" i="2"/>
  <c r="AG15" i="4"/>
  <c r="AG15" i="3"/>
  <c r="AG15" i="2"/>
  <c r="AF15" i="2"/>
  <c r="AE15" i="2"/>
  <c r="AD15" i="2"/>
  <c r="AF15" i="3"/>
  <c r="AJ15" i="3"/>
  <c r="AA15" i="3"/>
  <c r="AC15" i="3"/>
  <c r="AE15" i="3"/>
  <c r="AE15" i="4"/>
  <c r="AD15" i="4"/>
  <c r="AB15" i="2"/>
  <c r="AC15" i="2"/>
  <c r="AB15" i="3"/>
  <c r="AC15" i="4"/>
  <c r="AB15" i="4"/>
  <c r="AA15" i="4"/>
  <c r="AA15" i="2"/>
  <c r="Z15" i="2"/>
  <c r="Z15" i="3"/>
  <c r="Z15" i="4"/>
  <c r="Y15" i="4"/>
  <c r="Y15" i="3"/>
  <c r="Y15" i="2"/>
  <c r="X15" i="3"/>
  <c r="X15" i="4"/>
  <c r="W15" i="4"/>
  <c r="W15" i="3"/>
  <c r="W15" i="2"/>
  <c r="V15" i="2"/>
  <c r="V15" i="3"/>
  <c r="V15" i="4"/>
  <c r="U15" i="4"/>
  <c r="U15" i="3"/>
  <c r="U15" i="2"/>
  <c r="T15" i="2"/>
  <c r="T15" i="3"/>
  <c r="T15" i="4"/>
  <c r="R15" i="4"/>
  <c r="S15" i="4"/>
  <c r="Q15" i="3"/>
  <c r="P15" i="4"/>
  <c r="P15" i="3"/>
  <c r="N15" i="4"/>
  <c r="F15" i="4"/>
  <c r="S15" i="3"/>
  <c r="R15" i="3"/>
  <c r="L15" i="3"/>
  <c r="D15" i="3"/>
  <c r="S15" i="2"/>
  <c r="R15" i="2"/>
  <c r="Q15" i="2"/>
  <c r="P15" i="2"/>
  <c r="H15" i="3"/>
  <c r="I15" i="4"/>
  <c r="J15" i="4"/>
  <c r="C15" i="4"/>
  <c r="K15" i="4"/>
  <c r="L15" i="2"/>
  <c r="D15" i="2"/>
  <c r="B15" i="4"/>
  <c r="E15" i="4"/>
  <c r="M15" i="4"/>
  <c r="D15" i="4"/>
  <c r="L15" i="4"/>
  <c r="O15" i="4"/>
  <c r="G15" i="4"/>
  <c r="H15" i="4"/>
  <c r="E15" i="3"/>
  <c r="M15" i="3"/>
  <c r="G15" i="3"/>
  <c r="O15" i="3"/>
  <c r="F15" i="3"/>
  <c r="N15" i="3"/>
  <c r="I15" i="3"/>
  <c r="B15" i="3"/>
  <c r="J15" i="3"/>
  <c r="C15" i="3"/>
  <c r="K15" i="3"/>
  <c r="E15" i="2"/>
  <c r="M15" i="2"/>
  <c r="G15" i="2"/>
  <c r="O15" i="2"/>
  <c r="H15" i="2"/>
  <c r="F15" i="2"/>
  <c r="N15" i="2"/>
  <c r="B15" i="2"/>
  <c r="J15" i="2"/>
  <c r="I15" i="2"/>
  <c r="C15" i="2"/>
  <c r="K15" i="2"/>
</calcChain>
</file>

<file path=xl/sharedStrings.xml><?xml version="1.0" encoding="utf-8"?>
<sst xmlns="http://schemas.openxmlformats.org/spreadsheetml/2006/main" count="69" uniqueCount="16">
  <si>
    <t>Time</t>
  </si>
  <si>
    <t>Press Side</t>
  </si>
  <si>
    <t>Pre-Compression Force (kN)</t>
  </si>
  <si>
    <t>Compression Force (kN)</t>
  </si>
  <si>
    <t>Feeder Speed (rpm)</t>
  </si>
  <si>
    <t>Press Speed (tpm)</t>
  </si>
  <si>
    <t>Insertion Depth (mm)</t>
  </si>
  <si>
    <t>Visual Inspection</t>
  </si>
  <si>
    <t>yes</t>
  </si>
  <si>
    <t>Average</t>
  </si>
  <si>
    <t>StDev</t>
  </si>
  <si>
    <t>%RSD</t>
  </si>
  <si>
    <t>Min</t>
  </si>
  <si>
    <t>Max</t>
  </si>
  <si>
    <t>mfg date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</si>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</sst>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1" fontId="1" fillId="0" borderId="11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1" fillId="0" borderId="12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F147-85EE-426F-A9B3-0E452D51D26F}">
  <dimension ref="A1:AM17"/>
  <sheetViews>
    <sheetView topLeftCell="X1" zoomScaleNormal="100" workbookViewId="0">
      <selection activeCell="AM13" sqref="A13:AM17"/>
    </sheetView>
  </sheetViews>
  <sheetFormatPr defaultColWidth="8.85546875" defaultRowHeight="15" x14ac:dyDescent="0.25"/>
  <cols>
    <col min="1" max="16384" width="8.85546875" style="45"/>
  </cols>
  <sheetData>
    <row r="1" spans="1:39" x14ac:dyDescent="0.25">
      <c r="A1" s="1" t="s">
        <v>0</v>
      </c>
      <c r="B1" s="13">
        <f>IP!B1</f>
        <v>950</v>
      </c>
      <c r="C1" s="13">
        <f>IP!C1</f>
        <v>950</v>
      </c>
      <c r="D1" s="13">
        <f>IP!D1</f>
        <v>1020</v>
      </c>
      <c r="E1" s="13">
        <f>IP!E1</f>
        <v>1020</v>
      </c>
      <c r="F1" s="13">
        <f>IP!F1</f>
        <v>1050</v>
      </c>
      <c r="G1" s="13">
        <f>IP!G1</f>
        <v>1050</v>
      </c>
      <c r="H1" s="13">
        <f>IP!H1</f>
        <v>1120</v>
      </c>
      <c r="I1" s="13">
        <f>IP!I1</f>
        <v>1120</v>
      </c>
      <c r="J1" s="13">
        <f>IP!J1</f>
        <v>1250</v>
      </c>
      <c r="K1" s="13">
        <f>IP!K1</f>
        <v>1250</v>
      </c>
      <c r="L1" s="13">
        <f>IP!L1</f>
        <v>1320</v>
      </c>
      <c r="M1" s="13">
        <f>IP!M1</f>
        <v>1320</v>
      </c>
      <c r="N1" s="13">
        <f>IP!N1</f>
        <v>1350</v>
      </c>
      <c r="O1" s="13">
        <f>IP!O1</f>
        <v>1350</v>
      </c>
      <c r="P1" s="13">
        <f>IP!P1</f>
        <v>1420</v>
      </c>
      <c r="Q1" s="13">
        <f>IP!Q1</f>
        <v>1420</v>
      </c>
      <c r="R1" s="13">
        <f>IP!R1</f>
        <v>1450</v>
      </c>
      <c r="S1" s="13">
        <f>IP!S1</f>
        <v>1450</v>
      </c>
      <c r="T1" s="13">
        <f>IP!T1</f>
        <v>1520</v>
      </c>
      <c r="U1" s="13">
        <f>IP!U1</f>
        <v>1520</v>
      </c>
      <c r="V1" s="13">
        <f>IP!V1</f>
        <v>1550</v>
      </c>
      <c r="W1" s="13">
        <f>IP!W1</f>
        <v>1550</v>
      </c>
      <c r="X1" s="13">
        <f>IP!X1</f>
        <v>1620</v>
      </c>
      <c r="Y1" s="13">
        <f>IP!Y1</f>
        <v>1620</v>
      </c>
      <c r="Z1" s="13">
        <f>IP!Z1</f>
        <v>1800</v>
      </c>
      <c r="AA1" s="13">
        <f>IP!AA1</f>
        <v>1800</v>
      </c>
      <c r="AB1" s="13">
        <f>IP!AB1</f>
        <v>1830</v>
      </c>
      <c r="AC1" s="13">
        <f>IP!AC1</f>
        <v>1830</v>
      </c>
      <c r="AD1" s="13">
        <f>IP!AD1</f>
        <v>1900</v>
      </c>
      <c r="AE1" s="13">
        <f>IP!AE1</f>
        <v>1900</v>
      </c>
      <c r="AF1" s="13">
        <f>IP!AF1</f>
        <v>1930</v>
      </c>
      <c r="AG1" s="13">
        <f>IP!AG1</f>
        <v>1930</v>
      </c>
      <c r="AH1" s="13">
        <f>IP!AH1</f>
        <v>2000</v>
      </c>
      <c r="AI1" s="13">
        <f>IP!AI1</f>
        <v>2000</v>
      </c>
      <c r="AJ1" s="13">
        <f>IP!AJ1</f>
        <v>2030</v>
      </c>
      <c r="AK1" s="13">
        <f>IP!AK1</f>
        <v>2030</v>
      </c>
      <c r="AL1" s="13">
        <f>IP!AL1</f>
        <v>2041</v>
      </c>
      <c r="AM1" s="13">
        <f>IP!AM1</f>
        <v>2041</v>
      </c>
    </row>
    <row r="2" spans="1:39" x14ac:dyDescent="0.25">
      <c r="A2" s="1" t="s">
        <v>1</v>
      </c>
      <c r="B2" s="1">
        <v>1</v>
      </c>
      <c r="C2" s="1">
        <v>2</v>
      </c>
      <c r="D2" s="1">
        <v>1</v>
      </c>
      <c r="E2" s="1">
        <v>2</v>
      </c>
      <c r="F2" s="14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  <c r="N2" s="1">
        <v>1</v>
      </c>
      <c r="O2" s="1">
        <v>2</v>
      </c>
      <c r="P2" s="1">
        <v>1</v>
      </c>
      <c r="Q2" s="1">
        <v>2</v>
      </c>
      <c r="R2" s="1">
        <v>1</v>
      </c>
      <c r="S2" s="1">
        <v>2</v>
      </c>
      <c r="T2" s="1">
        <v>1</v>
      </c>
      <c r="U2" s="1">
        <v>2</v>
      </c>
      <c r="V2" s="1">
        <v>1</v>
      </c>
      <c r="W2" s="1">
        <v>2</v>
      </c>
      <c r="X2" s="1">
        <v>1</v>
      </c>
      <c r="Y2" s="1">
        <v>2</v>
      </c>
      <c r="Z2" s="1">
        <v>1</v>
      </c>
      <c r="AA2" s="1">
        <v>2</v>
      </c>
      <c r="AB2" s="1">
        <v>1</v>
      </c>
      <c r="AC2" s="1">
        <v>2</v>
      </c>
      <c r="AD2" s="1">
        <v>1</v>
      </c>
      <c r="AE2" s="1">
        <v>2</v>
      </c>
      <c r="AF2" s="1">
        <v>1</v>
      </c>
      <c r="AG2" s="1">
        <v>2</v>
      </c>
      <c r="AH2" s="1">
        <v>1</v>
      </c>
      <c r="AI2" s="1">
        <v>2</v>
      </c>
      <c r="AJ2" s="1">
        <v>1</v>
      </c>
      <c r="AK2" s="1">
        <v>2</v>
      </c>
      <c r="AL2" s="1">
        <v>1</v>
      </c>
      <c r="AM2" s="1">
        <v>2</v>
      </c>
    </row>
    <row r="3" spans="1:39" x14ac:dyDescent="0.25">
      <c r="A3" s="5">
        <v>1</v>
      </c>
      <c r="B3" s="6">
        <v>221.7</v>
      </c>
      <c r="C3" s="6">
        <v>220.1</v>
      </c>
      <c r="D3" s="6">
        <v>219.9</v>
      </c>
      <c r="E3" s="6">
        <v>220.1</v>
      </c>
      <c r="F3" s="6">
        <v>220.3</v>
      </c>
      <c r="G3" s="6">
        <v>219.2</v>
      </c>
      <c r="H3" s="6">
        <v>219.2</v>
      </c>
      <c r="I3" s="6">
        <v>218.8</v>
      </c>
      <c r="J3" s="6">
        <v>218.8</v>
      </c>
      <c r="K3" s="6">
        <v>219.9</v>
      </c>
      <c r="L3" s="6">
        <v>219.3</v>
      </c>
      <c r="M3" s="6">
        <v>220.1</v>
      </c>
      <c r="N3" s="6">
        <v>218.9</v>
      </c>
      <c r="O3" s="6">
        <v>218.3</v>
      </c>
      <c r="P3" s="6">
        <v>220.8</v>
      </c>
      <c r="Q3" s="6">
        <v>220.6</v>
      </c>
      <c r="R3" s="6">
        <v>216.7</v>
      </c>
      <c r="S3" s="6">
        <v>218.9</v>
      </c>
      <c r="T3" s="6">
        <v>220.1</v>
      </c>
      <c r="U3" s="6">
        <v>220.3</v>
      </c>
      <c r="V3" s="6">
        <v>221.4</v>
      </c>
      <c r="W3" s="6">
        <v>222.9</v>
      </c>
      <c r="X3" s="6">
        <v>218.4</v>
      </c>
      <c r="Y3" s="6">
        <v>219.3</v>
      </c>
      <c r="Z3" s="6">
        <v>221.2</v>
      </c>
      <c r="AA3" s="6">
        <v>220</v>
      </c>
      <c r="AB3" s="6">
        <v>220</v>
      </c>
      <c r="AC3" s="6">
        <v>221.7</v>
      </c>
      <c r="AD3" s="6">
        <v>219.1</v>
      </c>
      <c r="AE3" s="6">
        <v>217.3</v>
      </c>
      <c r="AF3" s="6">
        <v>219.1</v>
      </c>
      <c r="AG3" s="6">
        <v>218</v>
      </c>
      <c r="AH3" s="6">
        <v>222.1</v>
      </c>
      <c r="AI3" s="6">
        <v>220.8</v>
      </c>
      <c r="AJ3" s="6">
        <v>220.3</v>
      </c>
      <c r="AK3" s="6">
        <v>221.6</v>
      </c>
      <c r="AL3" s="6">
        <v>219.5</v>
      </c>
      <c r="AM3" s="6">
        <v>220.4</v>
      </c>
    </row>
    <row r="4" spans="1:39" x14ac:dyDescent="0.25">
      <c r="A4" s="5">
        <v>2</v>
      </c>
      <c r="B4" s="6">
        <v>219.3</v>
      </c>
      <c r="C4" s="6">
        <v>223.5</v>
      </c>
      <c r="D4" s="6">
        <v>220.5</v>
      </c>
      <c r="E4" s="6">
        <v>220.8</v>
      </c>
      <c r="F4" s="6">
        <v>217.3</v>
      </c>
      <c r="G4" s="6">
        <v>221.3</v>
      </c>
      <c r="H4" s="6">
        <v>219.4</v>
      </c>
      <c r="I4" s="6">
        <v>220.2</v>
      </c>
      <c r="J4" s="6">
        <v>220.7</v>
      </c>
      <c r="K4" s="6">
        <v>218.3</v>
      </c>
      <c r="L4" s="6">
        <v>219.7</v>
      </c>
      <c r="M4" s="6">
        <v>218.8</v>
      </c>
      <c r="N4" s="6">
        <v>220.9</v>
      </c>
      <c r="O4" s="6">
        <v>220.8</v>
      </c>
      <c r="P4" s="6">
        <v>217.9</v>
      </c>
      <c r="Q4" s="6">
        <v>221.3</v>
      </c>
      <c r="R4" s="6">
        <v>220.2</v>
      </c>
      <c r="S4" s="6">
        <v>218.9</v>
      </c>
      <c r="T4" s="6">
        <v>219.3</v>
      </c>
      <c r="U4" s="6">
        <v>217.9</v>
      </c>
      <c r="V4" s="6">
        <v>215.4</v>
      </c>
      <c r="W4" s="6">
        <v>218.4</v>
      </c>
      <c r="X4" s="6">
        <v>216.1</v>
      </c>
      <c r="Y4" s="6">
        <v>218.5</v>
      </c>
      <c r="Z4" s="6">
        <v>225.1</v>
      </c>
      <c r="AA4" s="6">
        <v>219.8</v>
      </c>
      <c r="AB4" s="6">
        <v>219.3</v>
      </c>
      <c r="AC4" s="6">
        <v>220.4</v>
      </c>
      <c r="AD4" s="6">
        <v>220.7</v>
      </c>
      <c r="AE4" s="6">
        <v>219.3</v>
      </c>
      <c r="AF4" s="6">
        <v>218.9</v>
      </c>
      <c r="AG4" s="6">
        <v>222.9</v>
      </c>
      <c r="AH4" s="6">
        <v>223.9</v>
      </c>
      <c r="AI4" s="6">
        <v>222.3</v>
      </c>
      <c r="AJ4" s="6">
        <v>222.4</v>
      </c>
      <c r="AK4" s="6">
        <v>220.5</v>
      </c>
      <c r="AL4" s="6">
        <v>220.3</v>
      </c>
      <c r="AM4" s="6">
        <v>221.1</v>
      </c>
    </row>
    <row r="5" spans="1:39" x14ac:dyDescent="0.25">
      <c r="A5" s="5">
        <v>3</v>
      </c>
      <c r="B5" s="6">
        <v>218.2</v>
      </c>
      <c r="C5" s="6">
        <v>222.3</v>
      </c>
      <c r="D5" s="6">
        <v>222.2</v>
      </c>
      <c r="E5" s="6">
        <v>221</v>
      </c>
      <c r="F5" s="6">
        <v>222.3</v>
      </c>
      <c r="G5" s="6">
        <v>217.8</v>
      </c>
      <c r="H5" s="6">
        <v>220</v>
      </c>
      <c r="I5" s="6">
        <v>219.7</v>
      </c>
      <c r="J5" s="6">
        <v>219.7</v>
      </c>
      <c r="K5" s="6">
        <v>218.9</v>
      </c>
      <c r="L5" s="6">
        <v>221.9</v>
      </c>
      <c r="M5" s="6">
        <v>222.3</v>
      </c>
      <c r="N5" s="6">
        <v>223.1</v>
      </c>
      <c r="O5" s="6">
        <v>221.7</v>
      </c>
      <c r="P5" s="6">
        <v>219.2</v>
      </c>
      <c r="Q5" s="6">
        <v>221.3</v>
      </c>
      <c r="R5" s="6">
        <v>219.2</v>
      </c>
      <c r="S5" s="6">
        <v>219.4</v>
      </c>
      <c r="T5" s="6">
        <v>216.6</v>
      </c>
      <c r="U5" s="6">
        <v>220.7</v>
      </c>
      <c r="V5" s="6">
        <v>217.2</v>
      </c>
      <c r="W5" s="6">
        <v>218.9</v>
      </c>
      <c r="X5" s="6">
        <v>220.2</v>
      </c>
      <c r="Y5" s="6">
        <v>222.7</v>
      </c>
      <c r="Z5" s="6">
        <v>220.5</v>
      </c>
      <c r="AA5" s="6">
        <v>221.1</v>
      </c>
      <c r="AB5" s="6">
        <v>220</v>
      </c>
      <c r="AC5" s="6">
        <v>221.1</v>
      </c>
      <c r="AD5" s="6">
        <v>221.6</v>
      </c>
      <c r="AE5" s="6">
        <v>221.6</v>
      </c>
      <c r="AF5" s="6">
        <v>221.5</v>
      </c>
      <c r="AG5" s="6">
        <v>219.2</v>
      </c>
      <c r="AH5" s="6">
        <v>220.3</v>
      </c>
      <c r="AI5" s="6">
        <v>222.5</v>
      </c>
      <c r="AJ5" s="6">
        <v>216.9</v>
      </c>
      <c r="AK5" s="6">
        <v>221.7</v>
      </c>
      <c r="AL5" s="6">
        <v>217.3</v>
      </c>
      <c r="AM5" s="6">
        <v>218.9</v>
      </c>
    </row>
    <row r="6" spans="1:39" x14ac:dyDescent="0.25">
      <c r="A6" s="5">
        <v>4</v>
      </c>
      <c r="B6" s="6">
        <v>218.5</v>
      </c>
      <c r="C6" s="6">
        <v>224.4</v>
      </c>
      <c r="D6" s="6">
        <v>220.2</v>
      </c>
      <c r="E6" s="6">
        <v>222.1</v>
      </c>
      <c r="F6" s="6">
        <v>220.9</v>
      </c>
      <c r="G6" s="6">
        <v>221.7</v>
      </c>
      <c r="H6" s="6">
        <v>219.7</v>
      </c>
      <c r="I6" s="6">
        <v>217.9</v>
      </c>
      <c r="J6" s="6">
        <v>222.9</v>
      </c>
      <c r="K6" s="6">
        <v>222.8</v>
      </c>
      <c r="L6" s="6">
        <v>218.4</v>
      </c>
      <c r="M6" s="6">
        <v>219.5</v>
      </c>
      <c r="N6" s="6">
        <v>219.9</v>
      </c>
      <c r="O6" s="6">
        <v>221</v>
      </c>
      <c r="P6" s="6">
        <v>220.4</v>
      </c>
      <c r="Q6" s="6">
        <v>217.8</v>
      </c>
      <c r="R6" s="6">
        <v>218.5</v>
      </c>
      <c r="S6" s="6">
        <v>218.3</v>
      </c>
      <c r="T6" s="6">
        <v>219.6</v>
      </c>
      <c r="U6" s="6">
        <v>218.8</v>
      </c>
      <c r="V6" s="6">
        <v>217.7</v>
      </c>
      <c r="W6" s="6">
        <v>216.3</v>
      </c>
      <c r="X6" s="6">
        <v>217</v>
      </c>
      <c r="Y6" s="6">
        <v>221</v>
      </c>
      <c r="Z6" s="6">
        <v>221</v>
      </c>
      <c r="AA6" s="6">
        <v>219.3</v>
      </c>
      <c r="AB6" s="6">
        <v>218.9</v>
      </c>
      <c r="AC6" s="6">
        <v>218.3</v>
      </c>
      <c r="AD6" s="6">
        <v>219.2</v>
      </c>
      <c r="AE6" s="6">
        <v>221.7</v>
      </c>
      <c r="AF6" s="6">
        <v>219.9</v>
      </c>
      <c r="AG6" s="6">
        <v>216.8</v>
      </c>
      <c r="AH6" s="6">
        <v>219.7</v>
      </c>
      <c r="AI6" s="6">
        <v>221.3</v>
      </c>
      <c r="AJ6" s="6">
        <v>221.8</v>
      </c>
      <c r="AK6" s="6">
        <v>221.6</v>
      </c>
      <c r="AL6" s="6">
        <v>221.6</v>
      </c>
      <c r="AM6" s="6">
        <v>223.6</v>
      </c>
    </row>
    <row r="7" spans="1:39" x14ac:dyDescent="0.25">
      <c r="A7" s="5">
        <v>5</v>
      </c>
      <c r="B7" s="6">
        <v>220.2</v>
      </c>
      <c r="C7" s="6">
        <v>223.1</v>
      </c>
      <c r="D7" s="6">
        <v>218</v>
      </c>
      <c r="E7" s="6">
        <v>220.7</v>
      </c>
      <c r="F7" s="6">
        <v>220.2</v>
      </c>
      <c r="G7" s="6">
        <v>218.7</v>
      </c>
      <c r="H7" s="6">
        <v>218</v>
      </c>
      <c r="I7" s="6">
        <v>221.7</v>
      </c>
      <c r="J7" s="6">
        <v>222.2</v>
      </c>
      <c r="K7" s="6">
        <v>219.5</v>
      </c>
      <c r="L7" s="6">
        <v>220.1</v>
      </c>
      <c r="M7" s="6">
        <v>219.5</v>
      </c>
      <c r="N7" s="6">
        <v>218.8</v>
      </c>
      <c r="O7" s="6">
        <v>217</v>
      </c>
      <c r="P7" s="6">
        <v>220</v>
      </c>
      <c r="Q7" s="6">
        <v>217.2</v>
      </c>
      <c r="R7" s="6">
        <v>221.4</v>
      </c>
      <c r="S7" s="6">
        <v>220.1</v>
      </c>
      <c r="T7" s="6">
        <v>216.4</v>
      </c>
      <c r="U7" s="6">
        <v>220.5</v>
      </c>
      <c r="V7" s="6">
        <v>221.3</v>
      </c>
      <c r="W7" s="6">
        <v>223.8</v>
      </c>
      <c r="X7" s="6">
        <v>221.3</v>
      </c>
      <c r="Y7" s="6">
        <v>219</v>
      </c>
      <c r="Z7" s="6">
        <v>221.1</v>
      </c>
      <c r="AA7" s="6">
        <v>218.4</v>
      </c>
      <c r="AB7" s="6">
        <v>220.2</v>
      </c>
      <c r="AC7" s="6">
        <v>220.9</v>
      </c>
      <c r="AD7" s="6">
        <v>222.1</v>
      </c>
      <c r="AE7" s="6">
        <v>219.6</v>
      </c>
      <c r="AF7" s="6">
        <v>218.2</v>
      </c>
      <c r="AG7" s="6">
        <v>217.4</v>
      </c>
      <c r="AH7" s="6">
        <v>218.5</v>
      </c>
      <c r="AI7" s="6">
        <v>220</v>
      </c>
      <c r="AJ7" s="6">
        <v>220.9</v>
      </c>
      <c r="AK7" s="6">
        <v>220.7</v>
      </c>
      <c r="AL7" s="6">
        <v>222.1</v>
      </c>
      <c r="AM7" s="6">
        <v>222.6</v>
      </c>
    </row>
    <row r="8" spans="1:39" x14ac:dyDescent="0.25">
      <c r="A8" s="5">
        <v>6</v>
      </c>
      <c r="B8" s="6">
        <v>218</v>
      </c>
      <c r="C8" s="6">
        <v>222.4</v>
      </c>
      <c r="D8" s="6">
        <v>219.9</v>
      </c>
      <c r="E8" s="6">
        <v>219.9</v>
      </c>
      <c r="F8" s="6">
        <v>220.4</v>
      </c>
      <c r="G8" s="6">
        <v>222.4</v>
      </c>
      <c r="H8" s="6">
        <v>218.3</v>
      </c>
      <c r="I8" s="6">
        <v>219.8</v>
      </c>
      <c r="J8" s="6">
        <v>220.5</v>
      </c>
      <c r="K8" s="6">
        <v>219.1</v>
      </c>
      <c r="L8" s="6">
        <v>220.6</v>
      </c>
      <c r="M8" s="6">
        <v>222.3</v>
      </c>
      <c r="N8" s="6">
        <v>221.5</v>
      </c>
      <c r="O8" s="6">
        <v>220.3</v>
      </c>
      <c r="P8" s="6">
        <v>221.8</v>
      </c>
      <c r="Q8" s="6">
        <v>219.8</v>
      </c>
      <c r="R8" s="6">
        <v>218.7</v>
      </c>
      <c r="S8" s="6">
        <v>222.7</v>
      </c>
      <c r="T8" s="6">
        <v>217.7</v>
      </c>
      <c r="U8" s="6">
        <v>218.4</v>
      </c>
      <c r="V8" s="6">
        <v>223.1</v>
      </c>
      <c r="W8" s="6">
        <v>220.7</v>
      </c>
      <c r="X8" s="6">
        <v>217.9</v>
      </c>
      <c r="Y8" s="6">
        <v>219.9</v>
      </c>
      <c r="Z8" s="6">
        <v>223.6</v>
      </c>
      <c r="AA8" s="6">
        <v>218.5</v>
      </c>
      <c r="AB8" s="6">
        <v>220.8</v>
      </c>
      <c r="AC8" s="6">
        <v>218.3</v>
      </c>
      <c r="AD8" s="6">
        <v>222.5</v>
      </c>
      <c r="AE8" s="6">
        <v>219.1</v>
      </c>
      <c r="AF8" s="6">
        <v>219.8</v>
      </c>
      <c r="AG8" s="6">
        <v>220.6</v>
      </c>
      <c r="AH8" s="6">
        <v>220.3</v>
      </c>
      <c r="AI8" s="6">
        <v>219.4</v>
      </c>
      <c r="AJ8" s="6">
        <v>220.9</v>
      </c>
      <c r="AK8" s="6">
        <v>221.8</v>
      </c>
      <c r="AL8" s="6">
        <v>221.5</v>
      </c>
      <c r="AM8" s="6">
        <v>221.6</v>
      </c>
    </row>
    <row r="9" spans="1:39" x14ac:dyDescent="0.25">
      <c r="A9" s="5">
        <v>7</v>
      </c>
      <c r="B9" s="6">
        <v>221.9</v>
      </c>
      <c r="C9" s="6">
        <v>222.1</v>
      </c>
      <c r="D9" s="6">
        <v>223.6</v>
      </c>
      <c r="E9" s="6">
        <v>223.5</v>
      </c>
      <c r="F9" s="6">
        <v>222</v>
      </c>
      <c r="G9" s="6">
        <v>222.6</v>
      </c>
      <c r="H9" s="6">
        <v>221.1</v>
      </c>
      <c r="I9" s="6">
        <v>220.5</v>
      </c>
      <c r="J9" s="6">
        <v>220</v>
      </c>
      <c r="K9" s="6">
        <v>218.7</v>
      </c>
      <c r="L9" s="6">
        <v>219.3</v>
      </c>
      <c r="M9" s="6">
        <v>220.8</v>
      </c>
      <c r="N9" s="6">
        <v>217.2</v>
      </c>
      <c r="O9" s="6">
        <v>220.8</v>
      </c>
      <c r="P9" s="6">
        <v>220.7</v>
      </c>
      <c r="Q9" s="6">
        <v>220.8</v>
      </c>
      <c r="R9" s="6">
        <v>218.1</v>
      </c>
      <c r="S9" s="6">
        <v>219.9</v>
      </c>
      <c r="T9" s="6">
        <v>220.6</v>
      </c>
      <c r="U9" s="6">
        <v>220.6</v>
      </c>
      <c r="V9" s="6">
        <v>221</v>
      </c>
      <c r="W9" s="6">
        <v>218.5</v>
      </c>
      <c r="X9" s="6">
        <v>219</v>
      </c>
      <c r="Y9" s="6">
        <v>220.5</v>
      </c>
      <c r="Z9" s="6">
        <v>224.3</v>
      </c>
      <c r="AA9" s="6">
        <v>218.9</v>
      </c>
      <c r="AB9" s="6">
        <v>223.4</v>
      </c>
      <c r="AC9" s="6">
        <v>224.3</v>
      </c>
      <c r="AD9" s="6">
        <v>222.2</v>
      </c>
      <c r="AE9" s="6">
        <v>218.5</v>
      </c>
      <c r="AF9" s="6">
        <v>219</v>
      </c>
      <c r="AG9" s="6">
        <v>219.5</v>
      </c>
      <c r="AH9" s="6">
        <v>220.3</v>
      </c>
      <c r="AI9" s="6">
        <v>221.5</v>
      </c>
      <c r="AJ9" s="6">
        <v>222.4</v>
      </c>
      <c r="AK9" s="6">
        <v>220.8</v>
      </c>
      <c r="AL9" s="6">
        <v>220.9</v>
      </c>
      <c r="AM9" s="6">
        <v>220.4</v>
      </c>
    </row>
    <row r="10" spans="1:39" x14ac:dyDescent="0.25">
      <c r="A10" s="5">
        <v>8</v>
      </c>
      <c r="B10" s="6">
        <v>219.3</v>
      </c>
      <c r="C10" s="6">
        <v>223.3</v>
      </c>
      <c r="D10" s="6">
        <v>220.9</v>
      </c>
      <c r="E10" s="6">
        <v>223.7</v>
      </c>
      <c r="F10" s="6">
        <v>220</v>
      </c>
      <c r="G10" s="6">
        <v>220.9</v>
      </c>
      <c r="H10" s="6">
        <v>221.1</v>
      </c>
      <c r="I10" s="6">
        <v>221.1</v>
      </c>
      <c r="J10" s="6">
        <v>219.3</v>
      </c>
      <c r="K10" s="6">
        <v>221.5</v>
      </c>
      <c r="L10" s="6">
        <v>220.7</v>
      </c>
      <c r="M10" s="6">
        <v>221.4</v>
      </c>
      <c r="N10" s="6">
        <v>218.1</v>
      </c>
      <c r="O10" s="6">
        <v>222</v>
      </c>
      <c r="P10" s="6">
        <v>218</v>
      </c>
      <c r="Q10" s="6">
        <v>220.5</v>
      </c>
      <c r="R10" s="6">
        <v>217.1</v>
      </c>
      <c r="S10" s="6">
        <v>218</v>
      </c>
      <c r="T10" s="6">
        <v>219.7</v>
      </c>
      <c r="U10" s="6">
        <v>217.9</v>
      </c>
      <c r="V10" s="6">
        <v>221</v>
      </c>
      <c r="W10" s="6">
        <v>220.4</v>
      </c>
      <c r="X10" s="6">
        <v>219.4</v>
      </c>
      <c r="Y10" s="6">
        <v>220.6</v>
      </c>
      <c r="Z10" s="6">
        <v>225</v>
      </c>
      <c r="AA10" s="6">
        <v>218.4</v>
      </c>
      <c r="AB10" s="6">
        <v>220.6</v>
      </c>
      <c r="AC10" s="6">
        <v>222.4</v>
      </c>
      <c r="AD10" s="6">
        <v>222.8</v>
      </c>
      <c r="AE10" s="6">
        <v>221</v>
      </c>
      <c r="AF10" s="6">
        <v>221.3</v>
      </c>
      <c r="AG10" s="6">
        <v>219.4</v>
      </c>
      <c r="AH10" s="6">
        <v>221.8</v>
      </c>
      <c r="AI10" s="6">
        <v>220.8</v>
      </c>
      <c r="AJ10" s="6">
        <v>223.4</v>
      </c>
      <c r="AK10" s="6">
        <v>221.1</v>
      </c>
      <c r="AL10" s="6">
        <v>220.9</v>
      </c>
      <c r="AM10" s="6">
        <v>221.6</v>
      </c>
    </row>
    <row r="11" spans="1:39" x14ac:dyDescent="0.25">
      <c r="A11" s="5">
        <v>9</v>
      </c>
      <c r="B11" s="6">
        <v>219.4</v>
      </c>
      <c r="C11" s="6">
        <v>227.5</v>
      </c>
      <c r="D11" s="6">
        <v>223</v>
      </c>
      <c r="E11" s="6">
        <v>220</v>
      </c>
      <c r="F11" s="6">
        <v>218.9</v>
      </c>
      <c r="G11" s="6">
        <v>222.1</v>
      </c>
      <c r="H11" s="6">
        <v>220.4</v>
      </c>
      <c r="I11" s="6">
        <v>219.6</v>
      </c>
      <c r="J11" s="6">
        <v>219.1</v>
      </c>
      <c r="K11" s="6">
        <v>217.8</v>
      </c>
      <c r="L11" s="6">
        <v>220.9</v>
      </c>
      <c r="M11" s="6">
        <v>218.8</v>
      </c>
      <c r="N11" s="6">
        <v>221.3</v>
      </c>
      <c r="O11" s="6">
        <v>217.7</v>
      </c>
      <c r="P11" s="6">
        <v>220.1</v>
      </c>
      <c r="Q11" s="6">
        <v>220.1</v>
      </c>
      <c r="R11" s="6">
        <v>218.6</v>
      </c>
      <c r="S11" s="6">
        <v>218.4</v>
      </c>
      <c r="T11" s="6">
        <v>222.3</v>
      </c>
      <c r="U11" s="6">
        <v>220.6</v>
      </c>
      <c r="V11" s="6">
        <v>219.5</v>
      </c>
      <c r="W11" s="6">
        <v>221.6</v>
      </c>
      <c r="X11" s="6">
        <v>220</v>
      </c>
      <c r="Y11" s="6">
        <v>223.4</v>
      </c>
      <c r="Z11" s="6">
        <v>222.4</v>
      </c>
      <c r="AA11" s="6">
        <v>222.3</v>
      </c>
      <c r="AB11" s="6">
        <v>221</v>
      </c>
      <c r="AC11" s="6">
        <v>222.6</v>
      </c>
      <c r="AD11" s="6">
        <v>217.4</v>
      </c>
      <c r="AE11" s="6">
        <v>220.6</v>
      </c>
      <c r="AF11" s="6">
        <v>219.8</v>
      </c>
      <c r="AG11" s="6">
        <v>218.7</v>
      </c>
      <c r="AH11" s="6">
        <v>221.2</v>
      </c>
      <c r="AI11" s="6">
        <v>222.6</v>
      </c>
      <c r="AJ11" s="6">
        <v>223.3</v>
      </c>
      <c r="AK11" s="6">
        <v>219.5</v>
      </c>
      <c r="AL11" s="6">
        <v>222.9</v>
      </c>
      <c r="AM11" s="6">
        <v>221.9</v>
      </c>
    </row>
    <row r="12" spans="1:39" ht="15.75" thickBot="1" x14ac:dyDescent="0.3">
      <c r="A12" s="37">
        <v>10</v>
      </c>
      <c r="B12" s="38">
        <v>220.4</v>
      </c>
      <c r="C12" s="38">
        <v>225.1</v>
      </c>
      <c r="D12" s="38">
        <v>219.5</v>
      </c>
      <c r="E12" s="38">
        <v>218.6</v>
      </c>
      <c r="F12" s="38">
        <v>221.9</v>
      </c>
      <c r="G12" s="38">
        <v>222.9</v>
      </c>
      <c r="H12" s="38">
        <v>221.4</v>
      </c>
      <c r="I12" s="38">
        <v>221.5</v>
      </c>
      <c r="J12" s="38">
        <v>219.6</v>
      </c>
      <c r="K12" s="38">
        <v>223.1</v>
      </c>
      <c r="L12" s="38">
        <v>219.8</v>
      </c>
      <c r="M12" s="38">
        <v>217.9</v>
      </c>
      <c r="N12" s="38">
        <v>221.9</v>
      </c>
      <c r="O12" s="38">
        <v>218.1</v>
      </c>
      <c r="P12" s="38">
        <v>219.9</v>
      </c>
      <c r="Q12" s="38">
        <v>221.2</v>
      </c>
      <c r="R12" s="38">
        <v>217.8</v>
      </c>
      <c r="S12" s="38">
        <v>219.8</v>
      </c>
      <c r="T12" s="38">
        <v>218.5</v>
      </c>
      <c r="U12" s="38">
        <v>219.9</v>
      </c>
      <c r="V12" s="38">
        <v>220.6</v>
      </c>
      <c r="W12" s="38">
        <v>218</v>
      </c>
      <c r="X12" s="38">
        <v>221</v>
      </c>
      <c r="Y12" s="38">
        <v>219.7</v>
      </c>
      <c r="Z12" s="38">
        <v>221.6</v>
      </c>
      <c r="AA12" s="38">
        <v>221.1</v>
      </c>
      <c r="AB12" s="38">
        <v>223.7</v>
      </c>
      <c r="AC12" s="38">
        <v>222.4</v>
      </c>
      <c r="AD12" s="38">
        <v>218.8</v>
      </c>
      <c r="AE12" s="38">
        <v>218.5</v>
      </c>
      <c r="AF12" s="38">
        <v>221.8</v>
      </c>
      <c r="AG12" s="38">
        <v>221</v>
      </c>
      <c r="AH12" s="38">
        <v>222.2</v>
      </c>
      <c r="AI12" s="38">
        <v>220.1</v>
      </c>
      <c r="AJ12" s="38">
        <v>223</v>
      </c>
      <c r="AK12" s="38">
        <v>220.4</v>
      </c>
      <c r="AL12" s="38">
        <v>223.2</v>
      </c>
      <c r="AM12" s="38">
        <v>222.1</v>
      </c>
    </row>
    <row r="13" spans="1:39" x14ac:dyDescent="0.25">
      <c r="A13" s="3" t="s">
        <v>9</v>
      </c>
      <c r="B13" s="7">
        <f t="shared" ref="B13:AK13" si="0">AVERAGE(B3:B12)</f>
        <v>219.69</v>
      </c>
      <c r="C13" s="7">
        <f t="shared" si="0"/>
        <v>223.38000000000002</v>
      </c>
      <c r="D13" s="7">
        <f t="shared" si="0"/>
        <v>220.76999999999998</v>
      </c>
      <c r="E13" s="7">
        <f t="shared" si="0"/>
        <v>221.04000000000002</v>
      </c>
      <c r="F13" s="16">
        <f t="shared" si="0"/>
        <v>220.42000000000002</v>
      </c>
      <c r="G13" s="7">
        <f t="shared" si="0"/>
        <v>220.95999999999998</v>
      </c>
      <c r="H13" s="7">
        <f t="shared" si="0"/>
        <v>219.85999999999999</v>
      </c>
      <c r="I13" s="7">
        <f t="shared" si="0"/>
        <v>220.07999999999998</v>
      </c>
      <c r="J13" s="7">
        <f t="shared" si="0"/>
        <v>220.27999999999997</v>
      </c>
      <c r="K13" s="7">
        <f t="shared" si="0"/>
        <v>219.95999999999998</v>
      </c>
      <c r="L13" s="7">
        <f t="shared" si="0"/>
        <v>220.07</v>
      </c>
      <c r="M13" s="7">
        <f t="shared" si="0"/>
        <v>220.14000000000001</v>
      </c>
      <c r="N13" s="7">
        <f t="shared" si="0"/>
        <v>220.16</v>
      </c>
      <c r="O13" s="7">
        <f t="shared" si="0"/>
        <v>219.76999999999998</v>
      </c>
      <c r="P13" s="7">
        <f t="shared" si="0"/>
        <v>219.88000000000002</v>
      </c>
      <c r="Q13" s="7">
        <f t="shared" si="0"/>
        <v>220.06</v>
      </c>
      <c r="R13" s="7">
        <f t="shared" si="0"/>
        <v>218.62999999999997</v>
      </c>
      <c r="S13" s="7">
        <f t="shared" si="0"/>
        <v>219.44</v>
      </c>
      <c r="T13" s="7">
        <f t="shared" si="0"/>
        <v>219.08</v>
      </c>
      <c r="U13" s="7">
        <f t="shared" si="0"/>
        <v>219.56</v>
      </c>
      <c r="V13" s="7">
        <f t="shared" si="0"/>
        <v>219.82</v>
      </c>
      <c r="W13" s="7">
        <f t="shared" si="0"/>
        <v>219.95</v>
      </c>
      <c r="X13" s="7">
        <f t="shared" si="0"/>
        <v>219.03000000000003</v>
      </c>
      <c r="Y13" s="7">
        <f t="shared" si="0"/>
        <v>220.45999999999998</v>
      </c>
      <c r="Z13" s="7">
        <f t="shared" si="0"/>
        <v>222.57999999999998</v>
      </c>
      <c r="AA13" s="7">
        <f t="shared" si="0"/>
        <v>219.78000000000003</v>
      </c>
      <c r="AB13" s="7">
        <f t="shared" si="0"/>
        <v>220.78999999999996</v>
      </c>
      <c r="AC13" s="7">
        <f t="shared" si="0"/>
        <v>221.24</v>
      </c>
      <c r="AD13" s="7">
        <f t="shared" si="0"/>
        <v>220.64000000000001</v>
      </c>
      <c r="AE13" s="7">
        <f t="shared" si="0"/>
        <v>219.71999999999997</v>
      </c>
      <c r="AF13" s="7">
        <f t="shared" si="0"/>
        <v>219.92999999999998</v>
      </c>
      <c r="AG13" s="7">
        <f t="shared" si="0"/>
        <v>219.35</v>
      </c>
      <c r="AH13" s="7">
        <f t="shared" si="0"/>
        <v>221.02999999999997</v>
      </c>
      <c r="AI13" s="7">
        <f t="shared" si="0"/>
        <v>221.13000000000002</v>
      </c>
      <c r="AJ13" s="7">
        <f t="shared" si="0"/>
        <v>221.53000000000003</v>
      </c>
      <c r="AK13" s="7">
        <f t="shared" si="0"/>
        <v>220.96999999999997</v>
      </c>
      <c r="AL13" s="7">
        <f t="shared" ref="AL13:AM13" si="1">AVERAGE(AL3:AL12)</f>
        <v>221.02000000000004</v>
      </c>
      <c r="AM13" s="41">
        <f t="shared" si="1"/>
        <v>221.42</v>
      </c>
    </row>
    <row r="14" spans="1:39" x14ac:dyDescent="0.25">
      <c r="A14" s="4" t="s">
        <v>10</v>
      </c>
      <c r="B14" s="8">
        <f t="shared" ref="B14:R14" si="2">_xlfn.STDEV.S(B3:B12)</f>
        <v>1.3568345514468589</v>
      </c>
      <c r="C14" s="8">
        <f t="shared" si="2"/>
        <v>1.9887461152975541</v>
      </c>
      <c r="D14" s="8">
        <f t="shared" si="2"/>
        <v>1.70753233253917</v>
      </c>
      <c r="E14" s="8">
        <f t="shared" si="2"/>
        <v>1.6208365466977559</v>
      </c>
      <c r="F14" s="17">
        <f t="shared" si="2"/>
        <v>1.5178932768808213</v>
      </c>
      <c r="G14" s="8">
        <f t="shared" si="2"/>
        <v>1.7852481931404138</v>
      </c>
      <c r="H14" s="8">
        <f t="shared" si="2"/>
        <v>1.1701851705321387</v>
      </c>
      <c r="I14" s="8">
        <f t="shared" si="2"/>
        <v>1.1886500279261671</v>
      </c>
      <c r="J14" s="8">
        <f t="shared" si="2"/>
        <v>1.3414751416092474</v>
      </c>
      <c r="K14" s="8">
        <f t="shared" si="2"/>
        <v>1.8673808157714129</v>
      </c>
      <c r="L14" s="8">
        <f t="shared" si="2"/>
        <v>0.9944847912361432</v>
      </c>
      <c r="M14" s="8">
        <f t="shared" si="2"/>
        <v>1.5196490822993767</v>
      </c>
      <c r="N14" s="8">
        <f t="shared" si="2"/>
        <v>1.8804254837669072</v>
      </c>
      <c r="O14" s="8">
        <f t="shared" si="2"/>
        <v>1.8111077027916138</v>
      </c>
      <c r="P14" s="8">
        <f t="shared" si="2"/>
        <v>1.2227473619317752</v>
      </c>
      <c r="Q14" s="8">
        <f t="shared" si="2"/>
        <v>1.4439144326755982</v>
      </c>
      <c r="R14" s="8">
        <f t="shared" si="2"/>
        <v>1.3952697867358059</v>
      </c>
      <c r="S14" s="8">
        <f>_xlfn.STDEV.S(S3:S12)</f>
        <v>1.3517067400553635</v>
      </c>
      <c r="T14" s="8">
        <f t="shared" ref="T14:AK14" si="3">_xlfn.STDEV.S(T3:T12)</f>
        <v>1.825620138169191</v>
      </c>
      <c r="U14" s="8">
        <f t="shared" si="3"/>
        <v>1.1758684733704938</v>
      </c>
      <c r="V14" s="8">
        <f t="shared" si="3"/>
        <v>2.3531539119516474</v>
      </c>
      <c r="W14" s="8">
        <f t="shared" si="3"/>
        <v>2.3510045134414819</v>
      </c>
      <c r="X14" s="8">
        <f t="shared" si="3"/>
        <v>1.695123725408989</v>
      </c>
      <c r="Y14" s="8">
        <f t="shared" si="3"/>
        <v>1.5699964614255935</v>
      </c>
      <c r="Z14" s="8">
        <f t="shared" si="3"/>
        <v>1.7674840876228577</v>
      </c>
      <c r="AA14" s="8">
        <f t="shared" si="3"/>
        <v>1.3472605951007059</v>
      </c>
      <c r="AB14" s="8">
        <f t="shared" si="3"/>
        <v>1.5898637258163539</v>
      </c>
      <c r="AC14" s="8">
        <f t="shared" si="3"/>
        <v>1.8927933502278209</v>
      </c>
      <c r="AD14" s="8">
        <f t="shared" si="3"/>
        <v>1.8839674448708843</v>
      </c>
      <c r="AE14" s="8">
        <f t="shared" si="3"/>
        <v>1.4634813896246728</v>
      </c>
      <c r="AF14" s="8">
        <f t="shared" si="3"/>
        <v>1.223882710429762</v>
      </c>
      <c r="AG14" s="8">
        <f t="shared" si="3"/>
        <v>1.8100030693651066</v>
      </c>
      <c r="AH14" s="8">
        <f t="shared" si="3"/>
        <v>1.5326447729333756</v>
      </c>
      <c r="AI14" s="8">
        <f t="shared" si="3"/>
        <v>1.111605445590595</v>
      </c>
      <c r="AJ14" s="8">
        <f t="shared" si="3"/>
        <v>1.9471061147821969</v>
      </c>
      <c r="AK14" s="8">
        <f t="shared" si="3"/>
        <v>0.73340908699639584</v>
      </c>
      <c r="AL14" s="8">
        <f t="shared" ref="AL14:AM14" si="4">_xlfn.STDEV.S(AL3:AL12)</f>
        <v>1.7229174224101478</v>
      </c>
      <c r="AM14" s="42">
        <f t="shared" si="4"/>
        <v>1.3096225071031349</v>
      </c>
    </row>
    <row r="15" spans="1:39" x14ac:dyDescent="0.25">
      <c r="A15" s="4" t="s">
        <v>11</v>
      </c>
      <c r="B15" s="8">
        <f>B14/B13*100</f>
        <v>0.6176132511479171</v>
      </c>
      <c r="C15" s="8">
        <f t="shared" ref="C15:AK15" si="5">C14/C13*100</f>
        <v>0.89029730293560472</v>
      </c>
      <c r="D15" s="8">
        <f t="shared" si="5"/>
        <v>0.77344400622329579</v>
      </c>
      <c r="E15" s="8">
        <f t="shared" si="5"/>
        <v>0.73327748221939726</v>
      </c>
      <c r="F15" s="17">
        <f t="shared" si="5"/>
        <v>0.68863681920008224</v>
      </c>
      <c r="G15" s="8">
        <f t="shared" si="5"/>
        <v>0.80795084772828285</v>
      </c>
      <c r="H15" s="8">
        <f t="shared" si="5"/>
        <v>0.53224104909130299</v>
      </c>
      <c r="I15" s="8">
        <f t="shared" si="5"/>
        <v>0.54009906757822934</v>
      </c>
      <c r="J15" s="8">
        <f t="shared" si="5"/>
        <v>0.60898635446216065</v>
      </c>
      <c r="K15" s="8">
        <f t="shared" si="5"/>
        <v>0.84896381877223726</v>
      </c>
      <c r="L15" s="8">
        <f t="shared" si="5"/>
        <v>0.45189475677563651</v>
      </c>
      <c r="M15" s="8">
        <f t="shared" si="5"/>
        <v>0.69031029449412951</v>
      </c>
      <c r="N15" s="8">
        <f t="shared" si="5"/>
        <v>0.85411767976331188</v>
      </c>
      <c r="O15" s="8">
        <f t="shared" si="5"/>
        <v>0.82409232506329977</v>
      </c>
      <c r="P15" s="8">
        <f t="shared" si="5"/>
        <v>0.55609758137701248</v>
      </c>
      <c r="Q15" s="8">
        <f t="shared" si="5"/>
        <v>0.65614579327256117</v>
      </c>
      <c r="R15" s="8">
        <f t="shared" si="5"/>
        <v>0.63818770833637017</v>
      </c>
      <c r="S15" s="8">
        <f t="shared" si="5"/>
        <v>0.61598010392606795</v>
      </c>
      <c r="T15" s="8">
        <f t="shared" si="5"/>
        <v>0.83331209520229632</v>
      </c>
      <c r="U15" s="8">
        <f t="shared" si="5"/>
        <v>0.53555678328042167</v>
      </c>
      <c r="V15" s="8">
        <f t="shared" si="5"/>
        <v>1.0704912710179455</v>
      </c>
      <c r="W15" s="8">
        <f t="shared" si="5"/>
        <v>1.0688813427785779</v>
      </c>
      <c r="X15" s="8">
        <f t="shared" si="5"/>
        <v>0.77392308149978939</v>
      </c>
      <c r="Y15" s="8">
        <f t="shared" si="5"/>
        <v>0.71214572322670489</v>
      </c>
      <c r="Z15" s="8">
        <f t="shared" si="5"/>
        <v>0.79408935556782179</v>
      </c>
      <c r="AA15" s="8">
        <f t="shared" si="5"/>
        <v>0.61300418377500487</v>
      </c>
      <c r="AB15" s="8">
        <f t="shared" si="5"/>
        <v>0.7200795895721519</v>
      </c>
      <c r="AC15" s="8">
        <f t="shared" si="5"/>
        <v>0.85553848771823393</v>
      </c>
      <c r="AD15" s="8">
        <f t="shared" si="5"/>
        <v>0.85386486805243111</v>
      </c>
      <c r="AE15" s="8">
        <f t="shared" si="5"/>
        <v>0.6660665345096819</v>
      </c>
      <c r="AF15" s="8">
        <f t="shared" si="5"/>
        <v>0.55648738709123913</v>
      </c>
      <c r="AG15" s="8">
        <f t="shared" si="5"/>
        <v>0.82516666029865826</v>
      </c>
      <c r="AH15" s="8">
        <f t="shared" si="5"/>
        <v>0.69341029404758436</v>
      </c>
      <c r="AI15" s="8">
        <f t="shared" si="5"/>
        <v>0.50269318753248982</v>
      </c>
      <c r="AJ15" s="8">
        <f t="shared" si="5"/>
        <v>0.87893563615862258</v>
      </c>
      <c r="AK15" s="8">
        <f t="shared" si="5"/>
        <v>0.33190437027487707</v>
      </c>
      <c r="AL15" s="8">
        <f t="shared" ref="AL15:AM15" si="6">AL14/AL13*100</f>
        <v>0.77953009791428263</v>
      </c>
      <c r="AM15" s="42">
        <f t="shared" si="6"/>
        <v>0.59146531799437041</v>
      </c>
    </row>
    <row r="16" spans="1:39" x14ac:dyDescent="0.25">
      <c r="A16" s="4" t="s">
        <v>12</v>
      </c>
      <c r="B16" s="9">
        <f t="shared" ref="B16:AK16" si="7">MIN(B3:B12)</f>
        <v>218</v>
      </c>
      <c r="C16" s="9">
        <f t="shared" si="7"/>
        <v>220.1</v>
      </c>
      <c r="D16" s="9">
        <f t="shared" si="7"/>
        <v>218</v>
      </c>
      <c r="E16" s="9">
        <f t="shared" si="7"/>
        <v>218.6</v>
      </c>
      <c r="F16" s="18">
        <f t="shared" si="7"/>
        <v>217.3</v>
      </c>
      <c r="G16" s="9">
        <f t="shared" si="7"/>
        <v>217.8</v>
      </c>
      <c r="H16" s="9">
        <f t="shared" si="7"/>
        <v>218</v>
      </c>
      <c r="I16" s="9">
        <f t="shared" si="7"/>
        <v>217.9</v>
      </c>
      <c r="J16" s="9">
        <f t="shared" si="7"/>
        <v>218.8</v>
      </c>
      <c r="K16" s="9">
        <f t="shared" si="7"/>
        <v>217.8</v>
      </c>
      <c r="L16" s="9">
        <f t="shared" si="7"/>
        <v>218.4</v>
      </c>
      <c r="M16" s="9">
        <f t="shared" si="7"/>
        <v>217.9</v>
      </c>
      <c r="N16" s="9">
        <f t="shared" si="7"/>
        <v>217.2</v>
      </c>
      <c r="O16" s="9">
        <f t="shared" si="7"/>
        <v>217</v>
      </c>
      <c r="P16" s="9">
        <f t="shared" si="7"/>
        <v>217.9</v>
      </c>
      <c r="Q16" s="9">
        <f t="shared" si="7"/>
        <v>217.2</v>
      </c>
      <c r="R16" s="9">
        <f t="shared" si="7"/>
        <v>216.7</v>
      </c>
      <c r="S16" s="9">
        <f t="shared" si="7"/>
        <v>218</v>
      </c>
      <c r="T16" s="9">
        <f t="shared" si="7"/>
        <v>216.4</v>
      </c>
      <c r="U16" s="9">
        <f t="shared" si="7"/>
        <v>217.9</v>
      </c>
      <c r="V16" s="9">
        <f t="shared" si="7"/>
        <v>215.4</v>
      </c>
      <c r="W16" s="9">
        <f t="shared" si="7"/>
        <v>216.3</v>
      </c>
      <c r="X16" s="9">
        <f t="shared" si="7"/>
        <v>216.1</v>
      </c>
      <c r="Y16" s="9">
        <f t="shared" si="7"/>
        <v>218.5</v>
      </c>
      <c r="Z16" s="9">
        <f t="shared" si="7"/>
        <v>220.5</v>
      </c>
      <c r="AA16" s="9">
        <f t="shared" si="7"/>
        <v>218.4</v>
      </c>
      <c r="AB16" s="9">
        <f t="shared" si="7"/>
        <v>218.9</v>
      </c>
      <c r="AC16" s="9">
        <f t="shared" si="7"/>
        <v>218.3</v>
      </c>
      <c r="AD16" s="9">
        <f t="shared" si="7"/>
        <v>217.4</v>
      </c>
      <c r="AE16" s="9">
        <f t="shared" si="7"/>
        <v>217.3</v>
      </c>
      <c r="AF16" s="9">
        <f t="shared" si="7"/>
        <v>218.2</v>
      </c>
      <c r="AG16" s="9">
        <f t="shared" si="7"/>
        <v>216.8</v>
      </c>
      <c r="AH16" s="9">
        <f t="shared" si="7"/>
        <v>218.5</v>
      </c>
      <c r="AI16" s="9">
        <f t="shared" si="7"/>
        <v>219.4</v>
      </c>
      <c r="AJ16" s="9">
        <f t="shared" si="7"/>
        <v>216.9</v>
      </c>
      <c r="AK16" s="9">
        <f t="shared" si="7"/>
        <v>219.5</v>
      </c>
      <c r="AL16" s="9">
        <f t="shared" ref="AL16:AM16" si="8">MIN(AL3:AL12)</f>
        <v>217.3</v>
      </c>
      <c r="AM16" s="43">
        <f t="shared" si="8"/>
        <v>218.9</v>
      </c>
    </row>
    <row r="17" spans="1:39" ht="15.75" thickBot="1" x14ac:dyDescent="0.3">
      <c r="A17" s="10" t="s">
        <v>13</v>
      </c>
      <c r="B17" s="11">
        <f t="shared" ref="B17:AK17" si="9">MAX(B3:B12)</f>
        <v>221.9</v>
      </c>
      <c r="C17" s="11">
        <f t="shared" si="9"/>
        <v>227.5</v>
      </c>
      <c r="D17" s="11">
        <f t="shared" si="9"/>
        <v>223.6</v>
      </c>
      <c r="E17" s="11">
        <f t="shared" si="9"/>
        <v>223.7</v>
      </c>
      <c r="F17" s="19">
        <f t="shared" si="9"/>
        <v>222.3</v>
      </c>
      <c r="G17" s="11">
        <f t="shared" si="9"/>
        <v>222.9</v>
      </c>
      <c r="H17" s="11">
        <f t="shared" si="9"/>
        <v>221.4</v>
      </c>
      <c r="I17" s="11">
        <f t="shared" si="9"/>
        <v>221.7</v>
      </c>
      <c r="J17" s="11">
        <f t="shared" si="9"/>
        <v>222.9</v>
      </c>
      <c r="K17" s="11">
        <f t="shared" si="9"/>
        <v>223.1</v>
      </c>
      <c r="L17" s="11">
        <f t="shared" si="9"/>
        <v>221.9</v>
      </c>
      <c r="M17" s="11">
        <f t="shared" si="9"/>
        <v>222.3</v>
      </c>
      <c r="N17" s="11">
        <f t="shared" si="9"/>
        <v>223.1</v>
      </c>
      <c r="O17" s="11">
        <f t="shared" si="9"/>
        <v>222</v>
      </c>
      <c r="P17" s="11">
        <f t="shared" si="9"/>
        <v>221.8</v>
      </c>
      <c r="Q17" s="11">
        <f t="shared" si="9"/>
        <v>221.3</v>
      </c>
      <c r="R17" s="11">
        <f t="shared" si="9"/>
        <v>221.4</v>
      </c>
      <c r="S17" s="11">
        <f t="shared" si="9"/>
        <v>222.7</v>
      </c>
      <c r="T17" s="11">
        <f t="shared" si="9"/>
        <v>222.3</v>
      </c>
      <c r="U17" s="11">
        <f t="shared" si="9"/>
        <v>220.7</v>
      </c>
      <c r="V17" s="11">
        <f t="shared" si="9"/>
        <v>223.1</v>
      </c>
      <c r="W17" s="11">
        <f t="shared" si="9"/>
        <v>223.8</v>
      </c>
      <c r="X17" s="11">
        <f t="shared" si="9"/>
        <v>221.3</v>
      </c>
      <c r="Y17" s="11">
        <f t="shared" si="9"/>
        <v>223.4</v>
      </c>
      <c r="Z17" s="11">
        <f t="shared" si="9"/>
        <v>225.1</v>
      </c>
      <c r="AA17" s="11">
        <f t="shared" si="9"/>
        <v>222.3</v>
      </c>
      <c r="AB17" s="11">
        <f t="shared" si="9"/>
        <v>223.7</v>
      </c>
      <c r="AC17" s="11">
        <f t="shared" si="9"/>
        <v>224.3</v>
      </c>
      <c r="AD17" s="11">
        <f t="shared" si="9"/>
        <v>222.8</v>
      </c>
      <c r="AE17" s="11">
        <f t="shared" si="9"/>
        <v>221.7</v>
      </c>
      <c r="AF17" s="11">
        <f t="shared" si="9"/>
        <v>221.8</v>
      </c>
      <c r="AG17" s="11">
        <f t="shared" si="9"/>
        <v>222.9</v>
      </c>
      <c r="AH17" s="11">
        <f t="shared" si="9"/>
        <v>223.9</v>
      </c>
      <c r="AI17" s="11">
        <f t="shared" si="9"/>
        <v>222.6</v>
      </c>
      <c r="AJ17" s="11">
        <f t="shared" si="9"/>
        <v>223.4</v>
      </c>
      <c r="AK17" s="11">
        <f t="shared" si="9"/>
        <v>221.8</v>
      </c>
      <c r="AL17" s="11">
        <f t="shared" ref="AL17:AM17" si="10">MAX(AL3:AL12)</f>
        <v>223.2</v>
      </c>
      <c r="AM17" s="44">
        <f t="shared" si="10"/>
        <v>223.6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4D30-E005-4846-9B23-180F08C95002}">
  <dimension ref="A1:AM17"/>
  <sheetViews>
    <sheetView topLeftCell="D1" zoomScale="84" workbookViewId="0">
      <selection activeCell="Z35" sqref="Z35"/>
    </sheetView>
  </sheetViews>
  <sheetFormatPr defaultColWidth="8.85546875" defaultRowHeight="15" x14ac:dyDescent="0.25"/>
  <cols>
    <col min="1" max="16384" width="8.85546875" style="45"/>
  </cols>
  <sheetData>
    <row r="1" spans="1:39" x14ac:dyDescent="0.25">
      <c r="A1" s="1" t="s">
        <v>0</v>
      </c>
      <c r="B1" s="13">
        <f>IP!B1</f>
        <v>950</v>
      </c>
      <c r="C1" s="13">
        <f>IP!C1</f>
        <v>950</v>
      </c>
      <c r="D1" s="13">
        <f>IP!D1</f>
        <v>1020</v>
      </c>
      <c r="E1" s="13">
        <f>IP!E1</f>
        <v>1020</v>
      </c>
      <c r="F1" s="13">
        <f>IP!F1</f>
        <v>1050</v>
      </c>
      <c r="G1" s="13">
        <f>IP!G1</f>
        <v>1050</v>
      </c>
      <c r="H1" s="13">
        <f>IP!H1</f>
        <v>1120</v>
      </c>
      <c r="I1" s="13">
        <f>IP!I1</f>
        <v>1120</v>
      </c>
      <c r="J1" s="13">
        <f>IP!J1</f>
        <v>1250</v>
      </c>
      <c r="K1" s="13">
        <f>IP!K1</f>
        <v>1250</v>
      </c>
      <c r="L1" s="13">
        <f>IP!L1</f>
        <v>1320</v>
      </c>
      <c r="M1" s="13">
        <f>IP!M1</f>
        <v>1320</v>
      </c>
      <c r="N1" s="13">
        <f>IP!N1</f>
        <v>1350</v>
      </c>
      <c r="O1" s="13">
        <f>IP!O1</f>
        <v>1350</v>
      </c>
      <c r="P1" s="13">
        <f>IP!P1</f>
        <v>1420</v>
      </c>
      <c r="Q1" s="13">
        <f>IP!Q1</f>
        <v>1420</v>
      </c>
      <c r="R1" s="13">
        <f>IP!R1</f>
        <v>1450</v>
      </c>
      <c r="S1" s="13">
        <f>IP!S1</f>
        <v>1450</v>
      </c>
      <c r="T1" s="13">
        <f>IP!T1</f>
        <v>1520</v>
      </c>
      <c r="U1" s="13">
        <f>IP!U1</f>
        <v>1520</v>
      </c>
      <c r="V1" s="13">
        <f>IP!V1</f>
        <v>1550</v>
      </c>
      <c r="W1" s="13">
        <f>IP!W1</f>
        <v>1550</v>
      </c>
      <c r="X1" s="13">
        <f>IP!X1</f>
        <v>1620</v>
      </c>
      <c r="Y1" s="13">
        <f>IP!Y1</f>
        <v>1620</v>
      </c>
      <c r="Z1" s="13">
        <f>IP!Z1</f>
        <v>1800</v>
      </c>
      <c r="AA1" s="13">
        <f>IP!AA1</f>
        <v>1800</v>
      </c>
      <c r="AB1" s="13">
        <f>IP!AB1</f>
        <v>1830</v>
      </c>
      <c r="AC1" s="13">
        <f>IP!AC1</f>
        <v>1830</v>
      </c>
      <c r="AD1" s="13">
        <f>IP!AD1</f>
        <v>1900</v>
      </c>
      <c r="AE1" s="13">
        <f>IP!AE1</f>
        <v>1900</v>
      </c>
      <c r="AF1" s="13">
        <f>IP!AF1</f>
        <v>1930</v>
      </c>
      <c r="AG1" s="13">
        <f>IP!AG1</f>
        <v>1930</v>
      </c>
      <c r="AH1" s="13">
        <f>IP!AH1</f>
        <v>2000</v>
      </c>
      <c r="AI1" s="13">
        <f>IP!AI1</f>
        <v>2000</v>
      </c>
      <c r="AJ1" s="13">
        <f>IP!AJ1</f>
        <v>2030</v>
      </c>
      <c r="AK1" s="13">
        <f>IP!AK1</f>
        <v>2030</v>
      </c>
      <c r="AL1" s="13">
        <f>IP!AL1</f>
        <v>2041</v>
      </c>
      <c r="AM1" s="13">
        <f>IP!AM1</f>
        <v>2041</v>
      </c>
    </row>
    <row r="2" spans="1:39" x14ac:dyDescent="0.25">
      <c r="A2" s="1" t="s">
        <v>1</v>
      </c>
      <c r="B2" s="21">
        <v>1</v>
      </c>
      <c r="C2" s="21">
        <v>2</v>
      </c>
      <c r="D2" s="21">
        <v>1</v>
      </c>
      <c r="E2" s="21">
        <v>2</v>
      </c>
      <c r="F2" s="28">
        <v>1</v>
      </c>
      <c r="G2" s="21">
        <v>2</v>
      </c>
      <c r="H2" s="21">
        <v>1</v>
      </c>
      <c r="I2" s="21">
        <v>2</v>
      </c>
      <c r="J2" s="21">
        <v>1</v>
      </c>
      <c r="K2" s="21">
        <v>2</v>
      </c>
      <c r="L2" s="21">
        <v>1</v>
      </c>
      <c r="M2" s="21">
        <v>2</v>
      </c>
      <c r="N2" s="21">
        <v>1</v>
      </c>
      <c r="O2" s="21">
        <v>2</v>
      </c>
      <c r="P2" s="21">
        <v>1</v>
      </c>
      <c r="Q2" s="21">
        <v>2</v>
      </c>
      <c r="R2" s="21">
        <v>1</v>
      </c>
      <c r="S2" s="21">
        <v>2</v>
      </c>
      <c r="T2" s="21">
        <v>1</v>
      </c>
      <c r="U2" s="21">
        <v>2</v>
      </c>
      <c r="V2" s="21">
        <v>1</v>
      </c>
      <c r="W2" s="21">
        <v>2</v>
      </c>
      <c r="X2" s="21">
        <v>1</v>
      </c>
      <c r="Y2" s="21">
        <v>2</v>
      </c>
      <c r="Z2" s="21">
        <v>1</v>
      </c>
      <c r="AA2" s="21">
        <v>2</v>
      </c>
      <c r="AB2" s="21">
        <v>1</v>
      </c>
      <c r="AC2" s="21">
        <v>2</v>
      </c>
      <c r="AD2" s="21">
        <v>1</v>
      </c>
      <c r="AE2" s="21">
        <v>2</v>
      </c>
      <c r="AF2" s="21">
        <v>1</v>
      </c>
      <c r="AG2" s="21">
        <v>2</v>
      </c>
      <c r="AH2" s="21">
        <v>1</v>
      </c>
      <c r="AI2" s="21">
        <v>2</v>
      </c>
      <c r="AJ2" s="21">
        <v>1</v>
      </c>
      <c r="AK2" s="21">
        <v>2</v>
      </c>
      <c r="AL2" s="21">
        <v>1</v>
      </c>
      <c r="AM2" s="21">
        <v>2</v>
      </c>
    </row>
    <row r="3" spans="1:39" x14ac:dyDescent="0.25">
      <c r="A3" s="5">
        <v>1</v>
      </c>
      <c r="B3" s="26">
        <v>3.88</v>
      </c>
      <c r="C3" s="26">
        <v>3.85</v>
      </c>
      <c r="D3" s="26">
        <v>3.84</v>
      </c>
      <c r="E3" s="26">
        <v>3.76</v>
      </c>
      <c r="F3" s="27">
        <v>3.75</v>
      </c>
      <c r="G3" s="26">
        <v>3.86</v>
      </c>
      <c r="H3" s="26">
        <v>3.86</v>
      </c>
      <c r="I3" s="26">
        <v>3.74</v>
      </c>
      <c r="J3" s="26">
        <v>3.83</v>
      </c>
      <c r="K3" s="26">
        <v>3.82</v>
      </c>
      <c r="L3" s="26">
        <v>3.78</v>
      </c>
      <c r="M3" s="26">
        <v>3.82</v>
      </c>
      <c r="N3" s="26">
        <v>3.74</v>
      </c>
      <c r="O3" s="26">
        <v>3.81</v>
      </c>
      <c r="P3" s="26">
        <v>3.84</v>
      </c>
      <c r="Q3" s="26">
        <v>3.84</v>
      </c>
      <c r="R3" s="26">
        <v>3.79</v>
      </c>
      <c r="S3" s="26">
        <v>3.85</v>
      </c>
      <c r="T3" s="26">
        <v>3.82</v>
      </c>
      <c r="U3" s="26">
        <v>3.76</v>
      </c>
      <c r="V3" s="26">
        <v>3.75</v>
      </c>
      <c r="W3" s="26">
        <v>3.78</v>
      </c>
      <c r="X3" s="26">
        <v>3.81</v>
      </c>
      <c r="Y3" s="26">
        <v>3.82</v>
      </c>
      <c r="Z3" s="26">
        <v>3.84</v>
      </c>
      <c r="AA3" s="26">
        <v>3.86</v>
      </c>
      <c r="AB3" s="26">
        <v>3.74</v>
      </c>
      <c r="AC3" s="26">
        <v>3.85</v>
      </c>
      <c r="AD3" s="26">
        <v>3.82</v>
      </c>
      <c r="AE3" s="26">
        <v>3.84</v>
      </c>
      <c r="AF3" s="26">
        <v>3.75</v>
      </c>
      <c r="AG3" s="26">
        <v>3.81</v>
      </c>
      <c r="AH3" s="26">
        <v>3.79</v>
      </c>
      <c r="AI3" s="26">
        <v>3.76</v>
      </c>
      <c r="AJ3" s="26">
        <v>3.86</v>
      </c>
      <c r="AK3" s="26">
        <v>3.85</v>
      </c>
      <c r="AL3" s="26">
        <v>3.76</v>
      </c>
      <c r="AM3" s="26">
        <v>3.84</v>
      </c>
    </row>
    <row r="4" spans="1:39" x14ac:dyDescent="0.25">
      <c r="A4" s="5">
        <v>2</v>
      </c>
      <c r="B4" s="26">
        <v>3.86</v>
      </c>
      <c r="C4" s="26">
        <v>3.79</v>
      </c>
      <c r="D4" s="26">
        <v>3.78</v>
      </c>
      <c r="E4" s="26">
        <v>3.85</v>
      </c>
      <c r="F4" s="27">
        <v>3.82</v>
      </c>
      <c r="G4" s="26">
        <v>3.73</v>
      </c>
      <c r="H4" s="26">
        <v>3.85</v>
      </c>
      <c r="I4" s="26">
        <v>3.81</v>
      </c>
      <c r="J4" s="26">
        <v>3.75</v>
      </c>
      <c r="K4" s="26">
        <v>3.75</v>
      </c>
      <c r="L4" s="26">
        <v>3.83</v>
      </c>
      <c r="M4" s="26">
        <v>3.84</v>
      </c>
      <c r="N4" s="26">
        <v>3.85</v>
      </c>
      <c r="O4" s="26">
        <v>3.75</v>
      </c>
      <c r="P4" s="26">
        <v>3.74</v>
      </c>
      <c r="Q4" s="26">
        <v>3.76</v>
      </c>
      <c r="R4" s="26">
        <v>3.84</v>
      </c>
      <c r="S4" s="26">
        <v>3.83</v>
      </c>
      <c r="T4" s="26">
        <v>3.75</v>
      </c>
      <c r="U4" s="26">
        <v>3.79</v>
      </c>
      <c r="V4" s="26">
        <v>3.7</v>
      </c>
      <c r="W4" s="26">
        <v>3.81</v>
      </c>
      <c r="X4" s="26">
        <v>3.8</v>
      </c>
      <c r="Y4" s="26">
        <v>3.74</v>
      </c>
      <c r="Z4" s="26">
        <v>3.78</v>
      </c>
      <c r="AA4" s="26">
        <v>3.84</v>
      </c>
      <c r="AB4" s="26">
        <v>3.84</v>
      </c>
      <c r="AC4" s="26">
        <v>3.74</v>
      </c>
      <c r="AD4" s="26">
        <v>3.86</v>
      </c>
      <c r="AE4" s="26">
        <v>3.75</v>
      </c>
      <c r="AF4" s="26">
        <v>3.74</v>
      </c>
      <c r="AG4" s="26">
        <v>3.86</v>
      </c>
      <c r="AH4" s="26">
        <v>3.87</v>
      </c>
      <c r="AI4" s="26">
        <v>3.84</v>
      </c>
      <c r="AJ4" s="26">
        <v>3.77</v>
      </c>
      <c r="AK4" s="26">
        <v>3.87</v>
      </c>
      <c r="AL4" s="26">
        <v>3.85</v>
      </c>
      <c r="AM4" s="26">
        <v>3.83</v>
      </c>
    </row>
    <row r="5" spans="1:39" x14ac:dyDescent="0.25">
      <c r="A5" s="5">
        <v>3</v>
      </c>
      <c r="B5" s="26">
        <v>3.86</v>
      </c>
      <c r="C5" s="26">
        <v>3.78</v>
      </c>
      <c r="D5" s="26">
        <v>3.81</v>
      </c>
      <c r="E5" s="26">
        <v>3.77</v>
      </c>
      <c r="F5" s="27">
        <v>3.78</v>
      </c>
      <c r="G5" s="26">
        <v>3.79</v>
      </c>
      <c r="H5" s="26">
        <v>3.83</v>
      </c>
      <c r="I5" s="26">
        <v>3.81</v>
      </c>
      <c r="J5" s="26">
        <v>3.83</v>
      </c>
      <c r="K5" s="26">
        <v>3.76</v>
      </c>
      <c r="L5" s="26">
        <v>3.75</v>
      </c>
      <c r="M5" s="26">
        <v>3.75</v>
      </c>
      <c r="N5" s="26">
        <v>3.85</v>
      </c>
      <c r="O5" s="26">
        <v>3.85</v>
      </c>
      <c r="P5" s="26">
        <v>3.84</v>
      </c>
      <c r="Q5" s="26">
        <v>3.82</v>
      </c>
      <c r="R5" s="26">
        <v>3.83</v>
      </c>
      <c r="S5" s="26">
        <v>3.83</v>
      </c>
      <c r="T5" s="26">
        <v>3.81</v>
      </c>
      <c r="U5" s="26">
        <v>3.74</v>
      </c>
      <c r="V5" s="26">
        <v>3.83</v>
      </c>
      <c r="W5" s="26">
        <v>3.73</v>
      </c>
      <c r="X5" s="26">
        <v>3.84</v>
      </c>
      <c r="Y5" s="26">
        <v>3.82</v>
      </c>
      <c r="Z5" s="26">
        <v>3.86</v>
      </c>
      <c r="AA5" s="26">
        <v>3.76</v>
      </c>
      <c r="AB5" s="26">
        <v>3.83</v>
      </c>
      <c r="AC5" s="26">
        <v>3.82</v>
      </c>
      <c r="AD5" s="26">
        <v>3.84</v>
      </c>
      <c r="AE5" s="26">
        <v>3.83</v>
      </c>
      <c r="AF5" s="26">
        <v>3.84</v>
      </c>
      <c r="AG5" s="26">
        <v>3.74</v>
      </c>
      <c r="AH5" s="26">
        <v>3.86</v>
      </c>
      <c r="AI5" s="26">
        <v>3.85</v>
      </c>
      <c r="AJ5" s="26">
        <v>3.75</v>
      </c>
      <c r="AK5" s="26">
        <v>3.86</v>
      </c>
      <c r="AL5" s="26">
        <v>3.84</v>
      </c>
      <c r="AM5" s="26">
        <v>3.76</v>
      </c>
    </row>
    <row r="6" spans="1:39" x14ac:dyDescent="0.25">
      <c r="A6" s="5">
        <v>4</v>
      </c>
      <c r="B6" s="26">
        <v>3.86</v>
      </c>
      <c r="C6" s="26">
        <v>3.81</v>
      </c>
      <c r="D6" s="26">
        <v>3.86</v>
      </c>
      <c r="E6" s="26">
        <v>3.79</v>
      </c>
      <c r="F6" s="27">
        <v>3.87</v>
      </c>
      <c r="G6" s="26">
        <v>3.78</v>
      </c>
      <c r="H6" s="26">
        <v>3.84</v>
      </c>
      <c r="I6" s="26">
        <v>3.83</v>
      </c>
      <c r="J6" s="26">
        <v>3.79</v>
      </c>
      <c r="K6" s="26">
        <v>3.85</v>
      </c>
      <c r="L6" s="26">
        <v>3.84</v>
      </c>
      <c r="M6" s="26">
        <v>3.82</v>
      </c>
      <c r="N6" s="26">
        <v>3.75</v>
      </c>
      <c r="O6" s="26">
        <v>3.85</v>
      </c>
      <c r="P6" s="26">
        <v>3.83</v>
      </c>
      <c r="Q6" s="26">
        <v>3.75</v>
      </c>
      <c r="R6" s="26">
        <v>3.82</v>
      </c>
      <c r="S6" s="26">
        <v>3.81</v>
      </c>
      <c r="T6" s="26">
        <v>3.77</v>
      </c>
      <c r="U6" s="26">
        <v>3.74</v>
      </c>
      <c r="V6" s="26">
        <v>3.82</v>
      </c>
      <c r="W6" s="26">
        <v>3.78</v>
      </c>
      <c r="X6" s="26">
        <v>3.71</v>
      </c>
      <c r="Y6" s="26">
        <v>3.75</v>
      </c>
      <c r="Z6" s="26">
        <v>3.84</v>
      </c>
      <c r="AA6" s="26">
        <v>3.78</v>
      </c>
      <c r="AB6" s="26">
        <v>3.74</v>
      </c>
      <c r="AC6" s="26">
        <v>3.81</v>
      </c>
      <c r="AD6" s="26">
        <v>3.79</v>
      </c>
      <c r="AE6" s="26">
        <v>3.83</v>
      </c>
      <c r="AF6" s="26">
        <v>3.78</v>
      </c>
      <c r="AG6" s="26">
        <v>3.69</v>
      </c>
      <c r="AH6" s="26">
        <v>3.88</v>
      </c>
      <c r="AI6" s="26">
        <v>3.85</v>
      </c>
      <c r="AJ6" s="26">
        <v>3.78</v>
      </c>
      <c r="AK6" s="26">
        <v>3.84</v>
      </c>
      <c r="AL6" s="26">
        <v>3.76</v>
      </c>
      <c r="AM6" s="26">
        <v>3.88</v>
      </c>
    </row>
    <row r="7" spans="1:39" x14ac:dyDescent="0.25">
      <c r="A7" s="5">
        <v>5</v>
      </c>
      <c r="B7" s="26">
        <v>3.86</v>
      </c>
      <c r="C7" s="26">
        <v>3.79</v>
      </c>
      <c r="D7" s="26">
        <v>3.76</v>
      </c>
      <c r="E7" s="26">
        <v>3.85</v>
      </c>
      <c r="F7" s="27">
        <v>3.84</v>
      </c>
      <c r="G7" s="26">
        <v>3.86</v>
      </c>
      <c r="H7" s="26">
        <v>3.74</v>
      </c>
      <c r="I7" s="26">
        <v>3.82</v>
      </c>
      <c r="J7" s="26">
        <v>3.85</v>
      </c>
      <c r="K7" s="26">
        <v>3.84</v>
      </c>
      <c r="L7" s="26">
        <v>3.86</v>
      </c>
      <c r="M7" s="26">
        <v>3.82</v>
      </c>
      <c r="N7" s="26">
        <v>3.84</v>
      </c>
      <c r="O7" s="26">
        <v>3.79</v>
      </c>
      <c r="P7" s="26">
        <v>3.76</v>
      </c>
      <c r="Q7" s="26">
        <v>3.77</v>
      </c>
      <c r="R7" s="26">
        <v>3.76</v>
      </c>
      <c r="S7" s="26">
        <v>3.76</v>
      </c>
      <c r="T7" s="26">
        <v>3.79</v>
      </c>
      <c r="U7" s="26">
        <v>3.83</v>
      </c>
      <c r="V7" s="26">
        <v>3.83</v>
      </c>
      <c r="W7" s="26">
        <v>3.85</v>
      </c>
      <c r="X7" s="26">
        <v>3.82</v>
      </c>
      <c r="Y7" s="26">
        <v>3.82</v>
      </c>
      <c r="Z7" s="26">
        <v>3.75</v>
      </c>
      <c r="AA7" s="26">
        <v>3.82</v>
      </c>
      <c r="AB7" s="26">
        <v>3.76</v>
      </c>
      <c r="AC7" s="26">
        <v>3.82</v>
      </c>
      <c r="AD7" s="26">
        <v>3.84</v>
      </c>
      <c r="AE7" s="26">
        <v>3.81</v>
      </c>
      <c r="AF7" s="26">
        <v>3.81</v>
      </c>
      <c r="AG7" s="26">
        <v>3.78</v>
      </c>
      <c r="AH7" s="26">
        <v>3.82</v>
      </c>
      <c r="AI7" s="26">
        <v>3.83</v>
      </c>
      <c r="AJ7" s="26">
        <v>3.76</v>
      </c>
      <c r="AK7" s="26">
        <v>3.81</v>
      </c>
      <c r="AL7" s="26">
        <v>3.85</v>
      </c>
      <c r="AM7" s="26">
        <v>3.87</v>
      </c>
    </row>
    <row r="8" spans="1:39" x14ac:dyDescent="0.25">
      <c r="A8" s="5">
        <v>6</v>
      </c>
      <c r="B8" s="26">
        <v>3.79</v>
      </c>
      <c r="C8" s="26">
        <v>3.84</v>
      </c>
      <c r="D8" s="26">
        <v>3.79</v>
      </c>
      <c r="E8" s="26">
        <v>3.85</v>
      </c>
      <c r="F8" s="27">
        <v>3.83</v>
      </c>
      <c r="G8" s="26">
        <v>3.86</v>
      </c>
      <c r="H8" s="26">
        <v>3.84</v>
      </c>
      <c r="I8" s="26">
        <v>3.84</v>
      </c>
      <c r="J8" s="26">
        <v>3.84</v>
      </c>
      <c r="K8" s="26">
        <v>3.85</v>
      </c>
      <c r="L8" s="26">
        <v>3.84</v>
      </c>
      <c r="M8" s="26">
        <v>3.77</v>
      </c>
      <c r="N8" s="26">
        <v>3.86</v>
      </c>
      <c r="O8" s="26">
        <v>3.82</v>
      </c>
      <c r="P8" s="26">
        <v>3.85</v>
      </c>
      <c r="Q8" s="26">
        <v>3.79</v>
      </c>
      <c r="R8" s="26">
        <v>3.75</v>
      </c>
      <c r="S8" s="26">
        <v>3.83</v>
      </c>
      <c r="T8" s="26">
        <v>3.74</v>
      </c>
      <c r="U8" s="26">
        <v>3.8</v>
      </c>
      <c r="V8" s="26">
        <v>3.86</v>
      </c>
      <c r="W8" s="26">
        <v>3.82</v>
      </c>
      <c r="X8" s="26">
        <v>3.73</v>
      </c>
      <c r="Y8" s="26">
        <v>3.82</v>
      </c>
      <c r="Z8" s="26">
        <v>3.85</v>
      </c>
      <c r="AA8" s="26">
        <v>3.75</v>
      </c>
      <c r="AB8" s="26">
        <v>3.78</v>
      </c>
      <c r="AC8" s="26">
        <v>3.83</v>
      </c>
      <c r="AD8" s="26">
        <v>3.77</v>
      </c>
      <c r="AE8" s="26">
        <v>3.83</v>
      </c>
      <c r="AF8" s="26">
        <v>3.84</v>
      </c>
      <c r="AG8" s="26">
        <v>3.83</v>
      </c>
      <c r="AH8" s="26">
        <v>3.75</v>
      </c>
      <c r="AI8" s="26">
        <v>3.82</v>
      </c>
      <c r="AJ8" s="26">
        <v>3.78</v>
      </c>
      <c r="AK8" s="26">
        <v>3.89</v>
      </c>
      <c r="AL8" s="26">
        <v>3.86</v>
      </c>
      <c r="AM8" s="26">
        <v>3.74</v>
      </c>
    </row>
    <row r="9" spans="1:39" x14ac:dyDescent="0.25">
      <c r="A9" s="5">
        <v>7</v>
      </c>
      <c r="B9" s="26">
        <v>3.88</v>
      </c>
      <c r="C9" s="26">
        <v>3.84</v>
      </c>
      <c r="D9" s="26">
        <v>3.81</v>
      </c>
      <c r="E9" s="26">
        <v>3.87</v>
      </c>
      <c r="F9" s="27">
        <v>3.77</v>
      </c>
      <c r="G9" s="26">
        <v>3.85</v>
      </c>
      <c r="H9" s="26">
        <v>3.85</v>
      </c>
      <c r="I9" s="26">
        <v>3.85</v>
      </c>
      <c r="J9" s="26">
        <v>3.74</v>
      </c>
      <c r="K9" s="26">
        <v>3.84</v>
      </c>
      <c r="L9" s="26">
        <v>3.75</v>
      </c>
      <c r="M9" s="26">
        <v>3.74</v>
      </c>
      <c r="N9" s="26">
        <v>3.74</v>
      </c>
      <c r="O9" s="26">
        <v>3.74</v>
      </c>
      <c r="P9" s="26">
        <v>3.82</v>
      </c>
      <c r="Q9" s="26">
        <v>3.82</v>
      </c>
      <c r="R9" s="26">
        <v>3.83</v>
      </c>
      <c r="S9" s="26">
        <v>3.73</v>
      </c>
      <c r="T9" s="26">
        <v>3.76</v>
      </c>
      <c r="U9" s="26">
        <v>3.81</v>
      </c>
      <c r="V9" s="26">
        <v>3.76</v>
      </c>
      <c r="W9" s="26">
        <v>3.74</v>
      </c>
      <c r="X9" s="26">
        <v>3.74</v>
      </c>
      <c r="Y9" s="26">
        <v>3.74</v>
      </c>
      <c r="Z9" s="26">
        <v>3.88</v>
      </c>
      <c r="AA9" s="26">
        <v>3.82</v>
      </c>
      <c r="AB9" s="26">
        <v>3.84</v>
      </c>
      <c r="AC9" s="26">
        <v>3.78</v>
      </c>
      <c r="AD9" s="26">
        <v>3.86</v>
      </c>
      <c r="AE9" s="26">
        <v>3.82</v>
      </c>
      <c r="AF9" s="26">
        <v>3.81</v>
      </c>
      <c r="AG9" s="26">
        <v>3.81</v>
      </c>
      <c r="AH9" s="26">
        <v>3.85</v>
      </c>
      <c r="AI9" s="26">
        <v>3.76</v>
      </c>
      <c r="AJ9" s="26">
        <v>3.78</v>
      </c>
      <c r="AK9" s="26">
        <v>3.76</v>
      </c>
      <c r="AL9" s="26">
        <v>3.86</v>
      </c>
      <c r="AM9" s="26">
        <v>3.75</v>
      </c>
    </row>
    <row r="10" spans="1:39" x14ac:dyDescent="0.25">
      <c r="A10" s="5">
        <v>8</v>
      </c>
      <c r="B10" s="26">
        <v>3.77</v>
      </c>
      <c r="C10" s="26">
        <v>3.88</v>
      </c>
      <c r="D10" s="26">
        <v>3.78</v>
      </c>
      <c r="E10" s="26">
        <v>3.79</v>
      </c>
      <c r="F10" s="27">
        <v>3.77</v>
      </c>
      <c r="G10" s="26">
        <v>3.85</v>
      </c>
      <c r="H10" s="26">
        <v>3.84</v>
      </c>
      <c r="I10" s="26">
        <v>3.82</v>
      </c>
      <c r="J10" s="26">
        <v>3.82</v>
      </c>
      <c r="K10" s="26">
        <v>3.83</v>
      </c>
      <c r="L10" s="26">
        <v>3.82</v>
      </c>
      <c r="M10" s="26">
        <v>3.83</v>
      </c>
      <c r="N10" s="26">
        <v>3.82</v>
      </c>
      <c r="O10" s="26">
        <v>3.85</v>
      </c>
      <c r="P10" s="26">
        <v>3.81</v>
      </c>
      <c r="Q10" s="26">
        <v>3.8</v>
      </c>
      <c r="R10" s="26">
        <v>3.81</v>
      </c>
      <c r="S10" s="26">
        <v>3.81</v>
      </c>
      <c r="T10" s="26">
        <v>3.82</v>
      </c>
      <c r="U10" s="26">
        <v>3.82</v>
      </c>
      <c r="V10" s="26">
        <v>3.75</v>
      </c>
      <c r="W10" s="26">
        <v>3.85</v>
      </c>
      <c r="X10" s="26">
        <v>3.82</v>
      </c>
      <c r="Y10" s="26">
        <v>3.74</v>
      </c>
      <c r="Z10" s="26">
        <v>3.89</v>
      </c>
      <c r="AA10" s="26">
        <v>3.78</v>
      </c>
      <c r="AB10" s="26">
        <v>3.82</v>
      </c>
      <c r="AC10" s="26">
        <v>3.86</v>
      </c>
      <c r="AD10" s="26">
        <v>3.77</v>
      </c>
      <c r="AE10" s="26">
        <v>3.83</v>
      </c>
      <c r="AF10" s="26">
        <v>3.86</v>
      </c>
      <c r="AG10" s="26">
        <v>3.8</v>
      </c>
      <c r="AH10" s="26">
        <v>3.86</v>
      </c>
      <c r="AI10" s="26">
        <v>3.84</v>
      </c>
      <c r="AJ10" s="26">
        <v>3.86</v>
      </c>
      <c r="AK10" s="26">
        <v>3.85</v>
      </c>
      <c r="AL10" s="26">
        <v>3.88</v>
      </c>
      <c r="AM10" s="26">
        <v>3.85</v>
      </c>
    </row>
    <row r="11" spans="1:39" x14ac:dyDescent="0.25">
      <c r="A11" s="5">
        <v>9</v>
      </c>
      <c r="B11" s="26">
        <v>3.85</v>
      </c>
      <c r="C11" s="26">
        <v>3.91</v>
      </c>
      <c r="D11" s="26">
        <v>3.88</v>
      </c>
      <c r="E11" s="26">
        <v>3.84</v>
      </c>
      <c r="F11" s="27">
        <v>3.78</v>
      </c>
      <c r="G11" s="26">
        <v>3.88</v>
      </c>
      <c r="H11" s="26">
        <v>3.84</v>
      </c>
      <c r="I11" s="26">
        <v>3.82</v>
      </c>
      <c r="J11" s="26">
        <v>3.81</v>
      </c>
      <c r="K11" s="26">
        <v>3.83</v>
      </c>
      <c r="L11" s="26">
        <v>3.86</v>
      </c>
      <c r="M11" s="26">
        <v>3.83</v>
      </c>
      <c r="N11" s="26">
        <v>3.82</v>
      </c>
      <c r="O11" s="26">
        <v>3.84</v>
      </c>
      <c r="P11" s="26">
        <v>3.81</v>
      </c>
      <c r="Q11" s="26">
        <v>3.75</v>
      </c>
      <c r="R11" s="26">
        <v>3.74</v>
      </c>
      <c r="S11" s="26">
        <v>3.81</v>
      </c>
      <c r="T11" s="26">
        <v>3.85</v>
      </c>
      <c r="U11" s="26">
        <v>3.78</v>
      </c>
      <c r="V11" s="26">
        <v>3.81</v>
      </c>
      <c r="W11" s="26">
        <v>3.82</v>
      </c>
      <c r="X11" s="26">
        <v>3.76</v>
      </c>
      <c r="Y11" s="26">
        <v>3.76</v>
      </c>
      <c r="Z11" s="26">
        <v>3.85</v>
      </c>
      <c r="AA11" s="26">
        <v>3.83</v>
      </c>
      <c r="AB11" s="26">
        <v>3.84</v>
      </c>
      <c r="AC11" s="26">
        <v>3.81</v>
      </c>
      <c r="AD11" s="26">
        <v>3.72</v>
      </c>
      <c r="AE11" s="26">
        <v>3.72</v>
      </c>
      <c r="AF11" s="26">
        <v>3.83</v>
      </c>
      <c r="AG11" s="26">
        <v>3.79</v>
      </c>
      <c r="AH11" s="26">
        <v>3.79</v>
      </c>
      <c r="AI11" s="26">
        <v>3.76</v>
      </c>
      <c r="AJ11" s="26">
        <v>3.88</v>
      </c>
      <c r="AK11" s="26">
        <v>3.74</v>
      </c>
      <c r="AL11" s="26">
        <v>3.76</v>
      </c>
      <c r="AM11" s="26">
        <v>3.85</v>
      </c>
    </row>
    <row r="12" spans="1:39" ht="15.75" thickBot="1" x14ac:dyDescent="0.3">
      <c r="A12" s="37">
        <v>10</v>
      </c>
      <c r="B12" s="46">
        <v>3.88</v>
      </c>
      <c r="C12" s="46">
        <v>3.79</v>
      </c>
      <c r="D12" s="46">
        <v>3.89</v>
      </c>
      <c r="E12" s="46">
        <v>3.74</v>
      </c>
      <c r="F12" s="47">
        <v>3.84</v>
      </c>
      <c r="G12" s="46">
        <v>3.83</v>
      </c>
      <c r="H12" s="46">
        <v>3.85</v>
      </c>
      <c r="I12" s="46">
        <v>3.83</v>
      </c>
      <c r="J12" s="46">
        <v>3.73</v>
      </c>
      <c r="K12" s="46">
        <v>3.87</v>
      </c>
      <c r="L12" s="46">
        <v>3.84</v>
      </c>
      <c r="M12" s="46">
        <v>3.82</v>
      </c>
      <c r="N12" s="46">
        <v>3.85</v>
      </c>
      <c r="O12" s="46">
        <v>3.74</v>
      </c>
      <c r="P12" s="46">
        <v>3.79</v>
      </c>
      <c r="Q12" s="46">
        <v>3.82</v>
      </c>
      <c r="R12" s="46">
        <v>3.74</v>
      </c>
      <c r="S12" s="46">
        <v>3.82</v>
      </c>
      <c r="T12" s="46">
        <v>3.81</v>
      </c>
      <c r="U12" s="46">
        <v>3.84</v>
      </c>
      <c r="V12" s="46">
        <v>3.83</v>
      </c>
      <c r="W12" s="46">
        <v>3.81</v>
      </c>
      <c r="X12" s="46">
        <v>3.83</v>
      </c>
      <c r="Y12" s="46">
        <v>3.82</v>
      </c>
      <c r="Z12" s="46">
        <v>3.85</v>
      </c>
      <c r="AA12" s="46">
        <v>3.83</v>
      </c>
      <c r="AB12" s="46">
        <v>3.86</v>
      </c>
      <c r="AC12" s="46">
        <v>3.85</v>
      </c>
      <c r="AD12" s="46">
        <v>3.8</v>
      </c>
      <c r="AE12" s="46">
        <v>3.85</v>
      </c>
      <c r="AF12" s="46">
        <v>3.75</v>
      </c>
      <c r="AG12" s="46">
        <v>3.78</v>
      </c>
      <c r="AH12" s="46">
        <v>3.78</v>
      </c>
      <c r="AI12" s="46">
        <v>3.88</v>
      </c>
      <c r="AJ12" s="46">
        <v>3.86</v>
      </c>
      <c r="AK12" s="46">
        <v>3.84</v>
      </c>
      <c r="AL12" s="46">
        <v>3.87</v>
      </c>
      <c r="AM12" s="46">
        <v>3.86</v>
      </c>
    </row>
    <row r="13" spans="1:39" x14ac:dyDescent="0.25">
      <c r="A13" s="3" t="s">
        <v>9</v>
      </c>
      <c r="B13" s="7">
        <f t="shared" ref="B13:AK13" si="0">AVERAGE(B3:B12)</f>
        <v>3.8490000000000002</v>
      </c>
      <c r="C13" s="7">
        <f t="shared" si="0"/>
        <v>3.8279999999999994</v>
      </c>
      <c r="D13" s="7">
        <f t="shared" si="0"/>
        <v>3.8199999999999994</v>
      </c>
      <c r="E13" s="7">
        <f t="shared" si="0"/>
        <v>3.8110000000000008</v>
      </c>
      <c r="F13" s="16">
        <f t="shared" si="0"/>
        <v>3.8049999999999997</v>
      </c>
      <c r="G13" s="7">
        <f t="shared" si="0"/>
        <v>3.8289999999999997</v>
      </c>
      <c r="H13" s="7">
        <f t="shared" si="0"/>
        <v>3.8339999999999996</v>
      </c>
      <c r="I13" s="7">
        <f t="shared" si="0"/>
        <v>3.8170000000000002</v>
      </c>
      <c r="J13" s="7">
        <f t="shared" si="0"/>
        <v>3.7990000000000004</v>
      </c>
      <c r="K13" s="7">
        <f t="shared" si="0"/>
        <v>3.8239999999999994</v>
      </c>
      <c r="L13" s="7">
        <f t="shared" si="0"/>
        <v>3.8170000000000002</v>
      </c>
      <c r="M13" s="7">
        <f t="shared" si="0"/>
        <v>3.8039999999999998</v>
      </c>
      <c r="N13" s="7">
        <f t="shared" si="0"/>
        <v>3.8120000000000003</v>
      </c>
      <c r="O13" s="7">
        <f t="shared" si="0"/>
        <v>3.8039999999999998</v>
      </c>
      <c r="P13" s="7">
        <f t="shared" si="0"/>
        <v>3.8089999999999997</v>
      </c>
      <c r="Q13" s="7">
        <f t="shared" si="0"/>
        <v>3.7920000000000003</v>
      </c>
      <c r="R13" s="7">
        <f t="shared" si="0"/>
        <v>3.7909999999999995</v>
      </c>
      <c r="S13" s="7">
        <f t="shared" si="0"/>
        <v>3.8079999999999998</v>
      </c>
      <c r="T13" s="7">
        <f t="shared" si="0"/>
        <v>3.7920000000000003</v>
      </c>
      <c r="U13" s="7">
        <f t="shared" si="0"/>
        <v>3.7909999999999995</v>
      </c>
      <c r="V13" s="7">
        <f t="shared" si="0"/>
        <v>3.7939999999999996</v>
      </c>
      <c r="W13" s="7">
        <f t="shared" si="0"/>
        <v>3.7990000000000004</v>
      </c>
      <c r="X13" s="7">
        <f t="shared" si="0"/>
        <v>3.786</v>
      </c>
      <c r="Y13" s="7">
        <f t="shared" si="0"/>
        <v>3.7829999999999999</v>
      </c>
      <c r="Z13" s="7">
        <f t="shared" si="0"/>
        <v>3.839</v>
      </c>
      <c r="AA13" s="7">
        <f t="shared" si="0"/>
        <v>3.8069999999999999</v>
      </c>
      <c r="AB13" s="7">
        <f t="shared" si="0"/>
        <v>3.8049999999999997</v>
      </c>
      <c r="AC13" s="7">
        <f t="shared" si="0"/>
        <v>3.8170000000000002</v>
      </c>
      <c r="AD13" s="7">
        <f t="shared" si="0"/>
        <v>3.8069999999999995</v>
      </c>
      <c r="AE13" s="7">
        <f t="shared" si="0"/>
        <v>3.8109999999999999</v>
      </c>
      <c r="AF13" s="7">
        <f t="shared" si="0"/>
        <v>3.8009999999999997</v>
      </c>
      <c r="AG13" s="7">
        <f t="shared" si="0"/>
        <v>3.7890000000000001</v>
      </c>
      <c r="AH13" s="7">
        <f t="shared" si="0"/>
        <v>3.8250000000000002</v>
      </c>
      <c r="AI13" s="7">
        <f t="shared" si="0"/>
        <v>3.8190000000000004</v>
      </c>
      <c r="AJ13" s="7">
        <f t="shared" si="0"/>
        <v>3.8079999999999998</v>
      </c>
      <c r="AK13" s="7">
        <f t="shared" si="0"/>
        <v>3.8310000000000004</v>
      </c>
      <c r="AL13" s="7">
        <f t="shared" ref="AL13:AM13" si="1">AVERAGE(AL3:AL12)</f>
        <v>3.8289999999999993</v>
      </c>
      <c r="AM13" s="41">
        <f t="shared" si="1"/>
        <v>3.8230000000000004</v>
      </c>
    </row>
    <row r="14" spans="1:39" x14ac:dyDescent="0.25">
      <c r="A14" s="4" t="s">
        <v>10</v>
      </c>
      <c r="B14" s="8">
        <f t="shared" ref="B14:AK14" si="2">_xlfn.STDEV.S(B3:B12)</f>
        <v>3.8137179293236151E-2</v>
      </c>
      <c r="C14" s="8">
        <f t="shared" si="2"/>
        <v>4.3665394383500866E-2</v>
      </c>
      <c r="D14" s="8">
        <f t="shared" si="2"/>
        <v>4.5215533220835172E-2</v>
      </c>
      <c r="E14" s="8">
        <f t="shared" si="2"/>
        <v>4.6055522047970671E-2</v>
      </c>
      <c r="F14" s="17">
        <f t="shared" si="2"/>
        <v>3.9791121287711083E-2</v>
      </c>
      <c r="G14" s="8">
        <f t="shared" si="2"/>
        <v>4.7246399039738693E-2</v>
      </c>
      <c r="H14" s="8">
        <f t="shared" si="2"/>
        <v>3.4058772731852732E-2</v>
      </c>
      <c r="I14" s="8">
        <f t="shared" si="2"/>
        <v>2.9832867780352532E-2</v>
      </c>
      <c r="J14" s="8">
        <f t="shared" si="2"/>
        <v>4.4083254568297592E-2</v>
      </c>
      <c r="K14" s="8">
        <f t="shared" si="2"/>
        <v>3.8930136855083876E-2</v>
      </c>
      <c r="L14" s="8">
        <f t="shared" si="2"/>
        <v>4.191260749066638E-2</v>
      </c>
      <c r="M14" s="8">
        <f t="shared" si="2"/>
        <v>3.6270588023294435E-2</v>
      </c>
      <c r="N14" s="8">
        <f t="shared" si="2"/>
        <v>4.9170903772228665E-2</v>
      </c>
      <c r="O14" s="8">
        <f t="shared" si="2"/>
        <v>4.6236109025065815E-2</v>
      </c>
      <c r="P14" s="8">
        <f t="shared" si="2"/>
        <v>3.6040101122067993E-2</v>
      </c>
      <c r="Q14" s="8">
        <f t="shared" si="2"/>
        <v>3.2930904093942531E-2</v>
      </c>
      <c r="R14" s="8">
        <f t="shared" si="2"/>
        <v>4.0124805295477704E-2</v>
      </c>
      <c r="S14" s="8">
        <f t="shared" si="2"/>
        <v>3.6147844564602613E-2</v>
      </c>
      <c r="T14" s="8">
        <f t="shared" si="2"/>
        <v>3.5839146815241613E-2</v>
      </c>
      <c r="U14" s="8">
        <f t="shared" si="2"/>
        <v>3.5730472522297572E-2</v>
      </c>
      <c r="V14" s="8">
        <f t="shared" si="2"/>
        <v>5.0596442562694043E-2</v>
      </c>
      <c r="W14" s="8">
        <f t="shared" si="2"/>
        <v>4.121757985239901E-2</v>
      </c>
      <c r="X14" s="8">
        <f t="shared" si="2"/>
        <v>4.6714261443612896E-2</v>
      </c>
      <c r="Y14" s="8">
        <f t="shared" si="2"/>
        <v>3.9454615277133988E-2</v>
      </c>
      <c r="Z14" s="8">
        <f t="shared" si="2"/>
        <v>4.2804464979978724E-2</v>
      </c>
      <c r="AA14" s="8">
        <f t="shared" si="2"/>
        <v>3.6832956257496739E-2</v>
      </c>
      <c r="AB14" s="8">
        <f t="shared" si="2"/>
        <v>4.5521667612492121E-2</v>
      </c>
      <c r="AC14" s="8">
        <f t="shared" si="2"/>
        <v>3.5916569992135911E-2</v>
      </c>
      <c r="AD14" s="8">
        <f t="shared" si="2"/>
        <v>4.5472824607426451E-2</v>
      </c>
      <c r="AE14" s="8">
        <f t="shared" si="2"/>
        <v>4.2018514437751751E-2</v>
      </c>
      <c r="AF14" s="8">
        <f t="shared" si="2"/>
        <v>4.3320510923425884E-2</v>
      </c>
      <c r="AG14" s="8">
        <f t="shared" si="2"/>
        <v>4.7246399039738686E-2</v>
      </c>
      <c r="AH14" s="8">
        <f t="shared" si="2"/>
        <v>4.5030853620354319E-2</v>
      </c>
      <c r="AI14" s="8">
        <f t="shared" si="2"/>
        <v>4.3576242252962749E-2</v>
      </c>
      <c r="AJ14" s="8">
        <f t="shared" si="2"/>
        <v>5.0288059108389627E-2</v>
      </c>
      <c r="AK14" s="8">
        <f t="shared" si="2"/>
        <v>4.7714428286071579E-2</v>
      </c>
      <c r="AL14" s="8">
        <f t="shared" ref="AL14:AM14" si="3">_xlfn.STDEV.S(AL3:AL12)</f>
        <v>4.8864893101057592E-2</v>
      </c>
      <c r="AM14" s="42">
        <f t="shared" si="3"/>
        <v>5.2503968104007773E-2</v>
      </c>
    </row>
    <row r="15" spans="1:39" x14ac:dyDescent="0.25">
      <c r="A15" s="4" t="s">
        <v>11</v>
      </c>
      <c r="B15" s="8">
        <f>B14/B13*100</f>
        <v>0.99083344487493241</v>
      </c>
      <c r="C15" s="8">
        <f t="shared" ref="C15:AK15" si="4">C14/C13*100</f>
        <v>1.140684283790514</v>
      </c>
      <c r="D15" s="8">
        <f t="shared" si="4"/>
        <v>1.1836527021161041</v>
      </c>
      <c r="E15" s="8">
        <f t="shared" si="4"/>
        <v>1.208489164208099</v>
      </c>
      <c r="F15" s="17">
        <f t="shared" si="4"/>
        <v>1.0457587723445751</v>
      </c>
      <c r="G15" s="8">
        <f t="shared" si="4"/>
        <v>1.2339096119022903</v>
      </c>
      <c r="H15" s="8">
        <f t="shared" si="4"/>
        <v>0.88833523035609629</v>
      </c>
      <c r="I15" s="8">
        <f t="shared" si="4"/>
        <v>0.78157893058298478</v>
      </c>
      <c r="J15" s="8">
        <f t="shared" si="4"/>
        <v>1.1603910125900918</v>
      </c>
      <c r="K15" s="8">
        <f t="shared" si="4"/>
        <v>1.0180475119007291</v>
      </c>
      <c r="L15" s="8">
        <f t="shared" si="4"/>
        <v>1.0980510215002981</v>
      </c>
      <c r="M15" s="8">
        <f t="shared" si="4"/>
        <v>0.95348548957135748</v>
      </c>
      <c r="N15" s="8">
        <f t="shared" si="4"/>
        <v>1.2898977904572051</v>
      </c>
      <c r="O15" s="8">
        <f t="shared" si="4"/>
        <v>1.2154602793129816</v>
      </c>
      <c r="P15" s="8">
        <f t="shared" si="4"/>
        <v>0.94618275458304013</v>
      </c>
      <c r="Q15" s="8">
        <f t="shared" si="4"/>
        <v>0.86843101513561527</v>
      </c>
      <c r="R15" s="8">
        <f t="shared" si="4"/>
        <v>1.0584227194797602</v>
      </c>
      <c r="S15" s="8">
        <f t="shared" si="4"/>
        <v>0.94926062407044676</v>
      </c>
      <c r="T15" s="8">
        <f t="shared" si="4"/>
        <v>0.94512517972683563</v>
      </c>
      <c r="U15" s="8">
        <f t="shared" si="4"/>
        <v>0.94250784812180377</v>
      </c>
      <c r="V15" s="8">
        <f t="shared" si="4"/>
        <v>1.3335910005981562</v>
      </c>
      <c r="W15" s="8">
        <f t="shared" si="4"/>
        <v>1.084958669449829</v>
      </c>
      <c r="X15" s="8">
        <f t="shared" si="4"/>
        <v>1.2338685008878207</v>
      </c>
      <c r="Y15" s="8">
        <f t="shared" si="4"/>
        <v>1.0429451566781387</v>
      </c>
      <c r="Z15" s="8">
        <f t="shared" si="4"/>
        <v>1.1149899708251816</v>
      </c>
      <c r="AA15" s="8">
        <f t="shared" si="4"/>
        <v>0.9675060745336681</v>
      </c>
      <c r="AB15" s="8">
        <f t="shared" si="4"/>
        <v>1.1963644576213437</v>
      </c>
      <c r="AC15" s="8">
        <f t="shared" si="4"/>
        <v>0.94096332177458497</v>
      </c>
      <c r="AD15" s="8">
        <f t="shared" si="4"/>
        <v>1.1944529710382572</v>
      </c>
      <c r="AE15" s="8">
        <f t="shared" si="4"/>
        <v>1.1025587624705262</v>
      </c>
      <c r="AF15" s="8">
        <f t="shared" si="4"/>
        <v>1.139713520742591</v>
      </c>
      <c r="AG15" s="8">
        <f t="shared" si="4"/>
        <v>1.2469358416399758</v>
      </c>
      <c r="AH15" s="8">
        <f t="shared" si="4"/>
        <v>1.1772772188327925</v>
      </c>
      <c r="AI15" s="8">
        <f t="shared" si="4"/>
        <v>1.1410380270479903</v>
      </c>
      <c r="AJ15" s="8">
        <f t="shared" si="4"/>
        <v>1.3205897875102317</v>
      </c>
      <c r="AK15" s="8">
        <f t="shared" si="4"/>
        <v>1.2454823358410747</v>
      </c>
      <c r="AL15" s="8">
        <f t="shared" ref="AL15:AM15" si="5">AL14/AL13*100</f>
        <v>1.2761789788732725</v>
      </c>
      <c r="AM15" s="42">
        <f t="shared" si="5"/>
        <v>1.3733708633012756</v>
      </c>
    </row>
    <row r="16" spans="1:39" x14ac:dyDescent="0.25">
      <c r="A16" s="4" t="s">
        <v>12</v>
      </c>
      <c r="B16" s="9">
        <f t="shared" ref="B16:AK16" si="6">MIN(B3:B12)</f>
        <v>3.77</v>
      </c>
      <c r="C16" s="9">
        <f t="shared" si="6"/>
        <v>3.78</v>
      </c>
      <c r="D16" s="9">
        <f t="shared" si="6"/>
        <v>3.76</v>
      </c>
      <c r="E16" s="9">
        <f t="shared" si="6"/>
        <v>3.74</v>
      </c>
      <c r="F16" s="18">
        <f t="shared" si="6"/>
        <v>3.75</v>
      </c>
      <c r="G16" s="9">
        <f t="shared" si="6"/>
        <v>3.73</v>
      </c>
      <c r="H16" s="9">
        <f t="shared" si="6"/>
        <v>3.74</v>
      </c>
      <c r="I16" s="9">
        <f t="shared" si="6"/>
        <v>3.74</v>
      </c>
      <c r="J16" s="9">
        <f t="shared" si="6"/>
        <v>3.73</v>
      </c>
      <c r="K16" s="9">
        <f t="shared" si="6"/>
        <v>3.75</v>
      </c>
      <c r="L16" s="9">
        <f t="shared" si="6"/>
        <v>3.75</v>
      </c>
      <c r="M16" s="9">
        <f t="shared" si="6"/>
        <v>3.74</v>
      </c>
      <c r="N16" s="9">
        <f t="shared" si="6"/>
        <v>3.74</v>
      </c>
      <c r="O16" s="9">
        <f t="shared" si="6"/>
        <v>3.74</v>
      </c>
      <c r="P16" s="9">
        <f t="shared" si="6"/>
        <v>3.74</v>
      </c>
      <c r="Q16" s="9">
        <f t="shared" si="6"/>
        <v>3.75</v>
      </c>
      <c r="R16" s="9">
        <f t="shared" si="6"/>
        <v>3.74</v>
      </c>
      <c r="S16" s="9">
        <f t="shared" si="6"/>
        <v>3.73</v>
      </c>
      <c r="T16" s="9">
        <f t="shared" si="6"/>
        <v>3.74</v>
      </c>
      <c r="U16" s="9">
        <f t="shared" si="6"/>
        <v>3.74</v>
      </c>
      <c r="V16" s="9">
        <f t="shared" si="6"/>
        <v>3.7</v>
      </c>
      <c r="W16" s="9">
        <f t="shared" si="6"/>
        <v>3.73</v>
      </c>
      <c r="X16" s="9">
        <f t="shared" si="6"/>
        <v>3.71</v>
      </c>
      <c r="Y16" s="9">
        <f t="shared" si="6"/>
        <v>3.74</v>
      </c>
      <c r="Z16" s="9">
        <f t="shared" si="6"/>
        <v>3.75</v>
      </c>
      <c r="AA16" s="9">
        <f t="shared" si="6"/>
        <v>3.75</v>
      </c>
      <c r="AB16" s="9">
        <f t="shared" si="6"/>
        <v>3.74</v>
      </c>
      <c r="AC16" s="9">
        <f t="shared" si="6"/>
        <v>3.74</v>
      </c>
      <c r="AD16" s="9">
        <f t="shared" si="6"/>
        <v>3.72</v>
      </c>
      <c r="AE16" s="9">
        <f t="shared" si="6"/>
        <v>3.72</v>
      </c>
      <c r="AF16" s="9">
        <f t="shared" si="6"/>
        <v>3.74</v>
      </c>
      <c r="AG16" s="9">
        <f t="shared" si="6"/>
        <v>3.69</v>
      </c>
      <c r="AH16" s="9">
        <f t="shared" si="6"/>
        <v>3.75</v>
      </c>
      <c r="AI16" s="9">
        <f t="shared" si="6"/>
        <v>3.76</v>
      </c>
      <c r="AJ16" s="9">
        <f t="shared" si="6"/>
        <v>3.75</v>
      </c>
      <c r="AK16" s="9">
        <f t="shared" si="6"/>
        <v>3.74</v>
      </c>
      <c r="AL16" s="9">
        <f t="shared" ref="AL16:AM16" si="7">MIN(AL3:AL12)</f>
        <v>3.76</v>
      </c>
      <c r="AM16" s="43">
        <f t="shared" si="7"/>
        <v>3.74</v>
      </c>
    </row>
    <row r="17" spans="1:39" ht="15.75" thickBot="1" x14ac:dyDescent="0.3">
      <c r="A17" s="10" t="s">
        <v>13</v>
      </c>
      <c r="B17" s="11">
        <f t="shared" ref="B17:AK17" si="8">MAX(B3:B12)</f>
        <v>3.88</v>
      </c>
      <c r="C17" s="11">
        <f t="shared" si="8"/>
        <v>3.91</v>
      </c>
      <c r="D17" s="11">
        <f t="shared" si="8"/>
        <v>3.89</v>
      </c>
      <c r="E17" s="11">
        <f t="shared" si="8"/>
        <v>3.87</v>
      </c>
      <c r="F17" s="19">
        <f t="shared" si="8"/>
        <v>3.87</v>
      </c>
      <c r="G17" s="11">
        <f t="shared" si="8"/>
        <v>3.88</v>
      </c>
      <c r="H17" s="11">
        <f t="shared" si="8"/>
        <v>3.86</v>
      </c>
      <c r="I17" s="11">
        <f t="shared" si="8"/>
        <v>3.85</v>
      </c>
      <c r="J17" s="11">
        <f t="shared" si="8"/>
        <v>3.85</v>
      </c>
      <c r="K17" s="11">
        <f t="shared" si="8"/>
        <v>3.87</v>
      </c>
      <c r="L17" s="11">
        <f t="shared" si="8"/>
        <v>3.86</v>
      </c>
      <c r="M17" s="11">
        <f t="shared" si="8"/>
        <v>3.84</v>
      </c>
      <c r="N17" s="11">
        <f t="shared" si="8"/>
        <v>3.86</v>
      </c>
      <c r="O17" s="11">
        <f t="shared" si="8"/>
        <v>3.85</v>
      </c>
      <c r="P17" s="11">
        <f t="shared" si="8"/>
        <v>3.85</v>
      </c>
      <c r="Q17" s="11">
        <f t="shared" si="8"/>
        <v>3.84</v>
      </c>
      <c r="R17" s="11">
        <f t="shared" si="8"/>
        <v>3.84</v>
      </c>
      <c r="S17" s="11">
        <f t="shared" si="8"/>
        <v>3.85</v>
      </c>
      <c r="T17" s="11">
        <f t="shared" si="8"/>
        <v>3.85</v>
      </c>
      <c r="U17" s="11">
        <f t="shared" si="8"/>
        <v>3.84</v>
      </c>
      <c r="V17" s="11">
        <f t="shared" si="8"/>
        <v>3.86</v>
      </c>
      <c r="W17" s="11">
        <f t="shared" si="8"/>
        <v>3.85</v>
      </c>
      <c r="X17" s="11">
        <f t="shared" si="8"/>
        <v>3.84</v>
      </c>
      <c r="Y17" s="11">
        <f t="shared" si="8"/>
        <v>3.82</v>
      </c>
      <c r="Z17" s="11">
        <f t="shared" si="8"/>
        <v>3.89</v>
      </c>
      <c r="AA17" s="11">
        <f t="shared" si="8"/>
        <v>3.86</v>
      </c>
      <c r="AB17" s="11">
        <f t="shared" si="8"/>
        <v>3.86</v>
      </c>
      <c r="AC17" s="11">
        <f t="shared" si="8"/>
        <v>3.86</v>
      </c>
      <c r="AD17" s="11">
        <f t="shared" si="8"/>
        <v>3.86</v>
      </c>
      <c r="AE17" s="11">
        <f t="shared" si="8"/>
        <v>3.85</v>
      </c>
      <c r="AF17" s="11">
        <f t="shared" si="8"/>
        <v>3.86</v>
      </c>
      <c r="AG17" s="11">
        <f t="shared" si="8"/>
        <v>3.86</v>
      </c>
      <c r="AH17" s="11">
        <f t="shared" si="8"/>
        <v>3.88</v>
      </c>
      <c r="AI17" s="11">
        <f t="shared" si="8"/>
        <v>3.88</v>
      </c>
      <c r="AJ17" s="11">
        <f t="shared" si="8"/>
        <v>3.88</v>
      </c>
      <c r="AK17" s="11">
        <f t="shared" si="8"/>
        <v>3.89</v>
      </c>
      <c r="AL17" s="11">
        <f t="shared" ref="AL17:AM17" si="9">MAX(AL3:AL12)</f>
        <v>3.88</v>
      </c>
      <c r="AM17" s="44">
        <f t="shared" si="9"/>
        <v>3.88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51E0-844F-4ECE-9C93-5C7D083010FC}">
  <dimension ref="A1:AM17"/>
  <sheetViews>
    <sheetView topLeftCell="D1" zoomScale="82" workbookViewId="0">
      <selection activeCell="AH34" sqref="AH34"/>
    </sheetView>
  </sheetViews>
  <sheetFormatPr defaultColWidth="8.85546875" defaultRowHeight="15" x14ac:dyDescent="0.25"/>
  <cols>
    <col min="38" max="39" width="8.85546875" style="29"/>
  </cols>
  <sheetData>
    <row r="1" spans="1:39" x14ac:dyDescent="0.25">
      <c r="A1" s="1" t="s">
        <v>0</v>
      </c>
      <c r="B1" s="13">
        <f>IP!B1</f>
        <v>950</v>
      </c>
      <c r="C1" s="13">
        <f>IP!C1</f>
        <v>950</v>
      </c>
      <c r="D1" s="13">
        <f>IP!D1</f>
        <v>1020</v>
      </c>
      <c r="E1" s="13">
        <f>IP!E1</f>
        <v>1020</v>
      </c>
      <c r="F1" s="13">
        <f>IP!F1</f>
        <v>1050</v>
      </c>
      <c r="G1" s="13">
        <f>IP!G1</f>
        <v>1050</v>
      </c>
      <c r="H1" s="13">
        <f>IP!H1</f>
        <v>1120</v>
      </c>
      <c r="I1" s="13">
        <f>IP!I1</f>
        <v>1120</v>
      </c>
      <c r="J1" s="13">
        <f>IP!J1</f>
        <v>1250</v>
      </c>
      <c r="K1" s="13">
        <f>IP!K1</f>
        <v>1250</v>
      </c>
      <c r="L1" s="13">
        <f>IP!L1</f>
        <v>1320</v>
      </c>
      <c r="M1" s="13">
        <f>IP!M1</f>
        <v>1320</v>
      </c>
      <c r="N1" s="13">
        <f>IP!N1</f>
        <v>1350</v>
      </c>
      <c r="O1" s="13">
        <f>IP!O1</f>
        <v>1350</v>
      </c>
      <c r="P1" s="13">
        <f>IP!P1</f>
        <v>1420</v>
      </c>
      <c r="Q1" s="13">
        <f>IP!Q1</f>
        <v>1420</v>
      </c>
      <c r="R1" s="13">
        <f>IP!R1</f>
        <v>1450</v>
      </c>
      <c r="S1" s="13">
        <f>IP!S1</f>
        <v>1450</v>
      </c>
      <c r="T1" s="13">
        <f>IP!T1</f>
        <v>1520</v>
      </c>
      <c r="U1" s="13">
        <f>IP!U1</f>
        <v>1520</v>
      </c>
      <c r="V1" s="13">
        <f>IP!V1</f>
        <v>1550</v>
      </c>
      <c r="W1" s="13">
        <f>IP!W1</f>
        <v>1550</v>
      </c>
      <c r="X1" s="13">
        <f>IP!X1</f>
        <v>1620</v>
      </c>
      <c r="Y1" s="13">
        <f>IP!Y1</f>
        <v>1620</v>
      </c>
      <c r="Z1" s="13">
        <f>IP!Z1</f>
        <v>1800</v>
      </c>
      <c r="AA1" s="13">
        <f>IP!AA1</f>
        <v>1800</v>
      </c>
      <c r="AB1" s="13">
        <f>IP!AB1</f>
        <v>1830</v>
      </c>
      <c r="AC1" s="13">
        <f>IP!AC1</f>
        <v>1830</v>
      </c>
      <c r="AD1" s="13">
        <f>IP!AD1</f>
        <v>1900</v>
      </c>
      <c r="AE1" s="13">
        <f>IP!AE1</f>
        <v>1900</v>
      </c>
      <c r="AF1" s="13">
        <f>IP!AF1</f>
        <v>1930</v>
      </c>
      <c r="AG1" s="13">
        <f>IP!AG1</f>
        <v>1930</v>
      </c>
      <c r="AH1" s="13">
        <f>IP!AH1</f>
        <v>2000</v>
      </c>
      <c r="AI1" s="13">
        <f>IP!AI1</f>
        <v>2000</v>
      </c>
      <c r="AJ1" s="13">
        <f>IP!AJ1</f>
        <v>2030</v>
      </c>
      <c r="AK1" s="13">
        <f>IP!AK1</f>
        <v>2030</v>
      </c>
      <c r="AL1" s="13">
        <f>IP!AL1</f>
        <v>2041</v>
      </c>
      <c r="AM1" s="13">
        <f>IP!AM1</f>
        <v>2041</v>
      </c>
    </row>
    <row r="2" spans="1:39" x14ac:dyDescent="0.25">
      <c r="A2" s="1" t="s">
        <v>1</v>
      </c>
      <c r="B2" s="1">
        <v>1</v>
      </c>
      <c r="C2" s="1">
        <v>2</v>
      </c>
      <c r="D2" s="1">
        <v>1</v>
      </c>
      <c r="E2" s="1">
        <v>2</v>
      </c>
      <c r="F2" s="14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  <c r="N2" s="1">
        <v>1</v>
      </c>
      <c r="O2" s="1">
        <v>2</v>
      </c>
      <c r="P2" s="1">
        <v>1</v>
      </c>
      <c r="Q2" s="1">
        <v>2</v>
      </c>
      <c r="R2" s="1">
        <v>1</v>
      </c>
      <c r="S2" s="1">
        <v>2</v>
      </c>
      <c r="T2" s="1">
        <v>1</v>
      </c>
      <c r="U2" s="1">
        <v>2</v>
      </c>
      <c r="V2" s="1">
        <v>1</v>
      </c>
      <c r="W2" s="1">
        <v>2</v>
      </c>
      <c r="X2" s="1">
        <v>1</v>
      </c>
      <c r="Y2" s="1">
        <v>2</v>
      </c>
      <c r="Z2" s="1">
        <v>1</v>
      </c>
      <c r="AA2" s="1">
        <v>2</v>
      </c>
      <c r="AB2" s="1">
        <v>1</v>
      </c>
      <c r="AC2" s="1">
        <v>2</v>
      </c>
      <c r="AD2" s="1">
        <v>1</v>
      </c>
      <c r="AE2" s="1">
        <v>2</v>
      </c>
      <c r="AF2" s="1">
        <v>1</v>
      </c>
      <c r="AG2" s="1">
        <v>2</v>
      </c>
      <c r="AH2" s="1">
        <v>1</v>
      </c>
      <c r="AI2" s="1">
        <v>2</v>
      </c>
      <c r="AJ2" s="1">
        <v>1</v>
      </c>
      <c r="AK2" s="1">
        <v>2</v>
      </c>
      <c r="AL2" s="1">
        <v>1</v>
      </c>
      <c r="AM2" s="1">
        <v>2</v>
      </c>
    </row>
    <row r="3" spans="1:39" x14ac:dyDescent="0.25">
      <c r="A3" s="5">
        <v>1</v>
      </c>
      <c r="B3" s="6">
        <v>11.7</v>
      </c>
      <c r="C3" s="6">
        <v>12.4</v>
      </c>
      <c r="D3" s="6">
        <v>11.6</v>
      </c>
      <c r="E3" s="6">
        <v>11.3</v>
      </c>
      <c r="F3" s="15">
        <v>11.6</v>
      </c>
      <c r="G3" s="6">
        <v>11.2</v>
      </c>
      <c r="H3" s="6">
        <v>11.6</v>
      </c>
      <c r="I3" s="6">
        <v>11.7</v>
      </c>
      <c r="J3" s="6">
        <v>12</v>
      </c>
      <c r="K3" s="6">
        <v>12.1</v>
      </c>
      <c r="L3" s="6">
        <v>11.4</v>
      </c>
      <c r="M3" s="6">
        <v>12.7</v>
      </c>
      <c r="N3" s="6">
        <v>12.3</v>
      </c>
      <c r="O3" s="6">
        <v>11.5</v>
      </c>
      <c r="P3" s="6">
        <v>12.3</v>
      </c>
      <c r="Q3" s="6">
        <v>12.6</v>
      </c>
      <c r="R3" s="6">
        <v>11.8</v>
      </c>
      <c r="S3" s="6">
        <v>11.5</v>
      </c>
      <c r="T3" s="25">
        <v>12.2</v>
      </c>
      <c r="U3" s="25">
        <v>12.8</v>
      </c>
      <c r="V3" s="25">
        <v>13.3</v>
      </c>
      <c r="W3" s="25">
        <v>13.3</v>
      </c>
      <c r="X3" s="25">
        <v>11.3</v>
      </c>
      <c r="Y3" s="25">
        <v>12.2</v>
      </c>
      <c r="Z3" s="25">
        <v>12.1</v>
      </c>
      <c r="AA3" s="25">
        <v>12.1</v>
      </c>
      <c r="AB3" s="25">
        <v>12</v>
      </c>
      <c r="AC3" s="25">
        <v>12.2</v>
      </c>
      <c r="AD3" s="25">
        <v>12.1</v>
      </c>
      <c r="AE3" s="25">
        <v>11.7</v>
      </c>
      <c r="AF3" s="25">
        <v>12.2</v>
      </c>
      <c r="AG3" s="25">
        <v>11.8</v>
      </c>
      <c r="AH3" s="25">
        <v>11.6</v>
      </c>
      <c r="AI3" s="25">
        <v>12.6</v>
      </c>
      <c r="AJ3" s="25">
        <v>11.4</v>
      </c>
      <c r="AK3" s="25">
        <v>11.7</v>
      </c>
      <c r="AL3" s="25">
        <v>11.5</v>
      </c>
      <c r="AM3" s="25">
        <v>12</v>
      </c>
    </row>
    <row r="4" spans="1:39" x14ac:dyDescent="0.25">
      <c r="A4" s="5">
        <v>2</v>
      </c>
      <c r="B4" s="6">
        <v>11.5</v>
      </c>
      <c r="C4" s="6">
        <v>12.1</v>
      </c>
      <c r="D4" s="6">
        <v>12</v>
      </c>
      <c r="E4" s="6">
        <v>12.2</v>
      </c>
      <c r="F4" s="15">
        <v>11.4</v>
      </c>
      <c r="G4" s="6">
        <v>12.1</v>
      </c>
      <c r="H4" s="6">
        <v>12</v>
      </c>
      <c r="I4" s="6">
        <v>12.4</v>
      </c>
      <c r="J4" s="6">
        <v>12.5</v>
      </c>
      <c r="K4" s="6">
        <v>11.8</v>
      </c>
      <c r="L4" s="6">
        <v>11.5</v>
      </c>
      <c r="M4" s="6">
        <v>12.2</v>
      </c>
      <c r="N4" s="6">
        <v>12.1</v>
      </c>
      <c r="O4" s="6">
        <v>12.4</v>
      </c>
      <c r="P4" s="6">
        <v>11.5</v>
      </c>
      <c r="Q4" s="6">
        <v>13.3</v>
      </c>
      <c r="R4" s="6">
        <v>12.1</v>
      </c>
      <c r="S4" s="6">
        <v>11.4</v>
      </c>
      <c r="T4" s="25">
        <v>12.2</v>
      </c>
      <c r="U4" s="25">
        <v>11.6</v>
      </c>
      <c r="V4" s="25">
        <v>11.5</v>
      </c>
      <c r="W4" s="25">
        <v>11.9</v>
      </c>
      <c r="X4" s="25">
        <v>11.5</v>
      </c>
      <c r="Y4" s="25">
        <v>12.3</v>
      </c>
      <c r="Z4" s="25">
        <v>13.4</v>
      </c>
      <c r="AA4" s="25">
        <v>12.5</v>
      </c>
      <c r="AB4" s="25">
        <v>11.6</v>
      </c>
      <c r="AC4" s="25">
        <v>12.1</v>
      </c>
      <c r="AD4" s="25">
        <v>11.7</v>
      </c>
      <c r="AE4" s="25">
        <v>11.7</v>
      </c>
      <c r="AF4" s="25">
        <v>11.1</v>
      </c>
      <c r="AG4" s="25">
        <v>12.6</v>
      </c>
      <c r="AH4" s="25">
        <v>12.9</v>
      </c>
      <c r="AI4" s="25">
        <v>12.3</v>
      </c>
      <c r="AJ4" s="25">
        <v>12.5</v>
      </c>
      <c r="AK4" s="25">
        <v>11.7</v>
      </c>
      <c r="AL4" s="25">
        <v>11.9</v>
      </c>
      <c r="AM4" s="25">
        <v>12.1</v>
      </c>
    </row>
    <row r="5" spans="1:39" x14ac:dyDescent="0.25">
      <c r="A5" s="5">
        <v>3</v>
      </c>
      <c r="B5" s="6">
        <v>10.9</v>
      </c>
      <c r="C5" s="6">
        <v>12.7</v>
      </c>
      <c r="D5" s="6">
        <v>12.6</v>
      </c>
      <c r="E5" s="6">
        <v>12.1</v>
      </c>
      <c r="F5" s="15">
        <v>12.3</v>
      </c>
      <c r="G5" s="6">
        <v>11.5</v>
      </c>
      <c r="H5" s="6">
        <v>12.1</v>
      </c>
      <c r="I5" s="6">
        <v>12</v>
      </c>
      <c r="J5" s="6">
        <v>12.1</v>
      </c>
      <c r="K5" s="6">
        <v>12</v>
      </c>
      <c r="L5" s="6">
        <v>12.2</v>
      </c>
      <c r="M5" s="6">
        <v>12.4</v>
      </c>
      <c r="N5" s="6">
        <v>12.5</v>
      </c>
      <c r="O5" s="6">
        <v>12.5</v>
      </c>
      <c r="P5" s="6">
        <v>12</v>
      </c>
      <c r="Q5" s="6">
        <v>13.1</v>
      </c>
      <c r="R5" s="6">
        <v>11.9</v>
      </c>
      <c r="S5" s="6">
        <v>11.7</v>
      </c>
      <c r="T5" s="25">
        <v>10.9</v>
      </c>
      <c r="U5" s="25">
        <v>12.6</v>
      </c>
      <c r="V5" s="25">
        <v>12</v>
      </c>
      <c r="W5" s="25">
        <v>12.1</v>
      </c>
      <c r="X5" s="25">
        <v>11.7</v>
      </c>
      <c r="Y5" s="25">
        <v>13.4</v>
      </c>
      <c r="Z5" s="25">
        <v>11.9</v>
      </c>
      <c r="AA5" s="25">
        <v>12.9</v>
      </c>
      <c r="AB5" s="25">
        <v>11.8</v>
      </c>
      <c r="AC5" s="25">
        <v>12.2</v>
      </c>
      <c r="AD5" s="25">
        <v>12.7</v>
      </c>
      <c r="AE5" s="25">
        <v>12.1</v>
      </c>
      <c r="AF5" s="25">
        <v>12</v>
      </c>
      <c r="AG5" s="25">
        <v>11.8</v>
      </c>
      <c r="AH5" s="25">
        <v>11.8</v>
      </c>
      <c r="AI5" s="25">
        <v>12.2</v>
      </c>
      <c r="AJ5" s="25">
        <v>10.9</v>
      </c>
      <c r="AK5" s="25">
        <v>12.6</v>
      </c>
      <c r="AL5" s="25">
        <v>11.3</v>
      </c>
      <c r="AM5" s="25">
        <v>11.7</v>
      </c>
    </row>
    <row r="6" spans="1:39" x14ac:dyDescent="0.25">
      <c r="A6" s="5">
        <v>4</v>
      </c>
      <c r="B6" s="6">
        <v>10.9</v>
      </c>
      <c r="C6" s="6">
        <v>12.4</v>
      </c>
      <c r="D6" s="6">
        <v>11.6</v>
      </c>
      <c r="E6" s="6">
        <v>11.9</v>
      </c>
      <c r="F6" s="15">
        <v>12.1</v>
      </c>
      <c r="G6" s="6">
        <v>12.4</v>
      </c>
      <c r="H6" s="6">
        <v>12.1</v>
      </c>
      <c r="I6" s="6">
        <v>11.2</v>
      </c>
      <c r="J6" s="6">
        <v>12.9</v>
      </c>
      <c r="K6" s="6">
        <v>13</v>
      </c>
      <c r="L6" s="6">
        <v>11.4</v>
      </c>
      <c r="M6" s="6">
        <v>11.5</v>
      </c>
      <c r="N6" s="6">
        <v>12.5</v>
      </c>
      <c r="O6" s="6">
        <v>13</v>
      </c>
      <c r="P6" s="6">
        <v>12.7</v>
      </c>
      <c r="Q6" s="6">
        <v>11.8</v>
      </c>
      <c r="R6" s="6">
        <v>12</v>
      </c>
      <c r="S6" s="6">
        <v>12.1</v>
      </c>
      <c r="T6" s="25">
        <v>11.6</v>
      </c>
      <c r="U6" s="25">
        <v>12</v>
      </c>
      <c r="V6" s="25">
        <v>11.5</v>
      </c>
      <c r="W6" s="25">
        <v>11.9</v>
      </c>
      <c r="X6" s="25">
        <v>11.5</v>
      </c>
      <c r="Y6" s="25">
        <v>12.9</v>
      </c>
      <c r="Z6" s="25">
        <v>11.8</v>
      </c>
      <c r="AA6" s="25">
        <v>12</v>
      </c>
      <c r="AB6" s="25">
        <v>11.6</v>
      </c>
      <c r="AC6" s="25">
        <v>11.7</v>
      </c>
      <c r="AD6" s="25">
        <v>11.6</v>
      </c>
      <c r="AE6" s="25">
        <v>12.6</v>
      </c>
      <c r="AF6" s="25">
        <v>12.1</v>
      </c>
      <c r="AG6" s="25">
        <v>12</v>
      </c>
      <c r="AH6" s="25">
        <v>11.8</v>
      </c>
      <c r="AI6" s="25">
        <v>11.8</v>
      </c>
      <c r="AJ6" s="25">
        <v>12.2</v>
      </c>
      <c r="AK6" s="25">
        <v>12.7</v>
      </c>
      <c r="AL6" s="25">
        <v>11.8</v>
      </c>
      <c r="AM6" s="25">
        <v>12</v>
      </c>
    </row>
    <row r="7" spans="1:39" x14ac:dyDescent="0.25">
      <c r="A7" s="5">
        <v>5</v>
      </c>
      <c r="B7" s="6">
        <v>11.5</v>
      </c>
      <c r="C7" s="6">
        <v>12</v>
      </c>
      <c r="D7" s="6">
        <v>11.1</v>
      </c>
      <c r="E7" s="6">
        <v>12.1</v>
      </c>
      <c r="F7" s="15">
        <v>11.5</v>
      </c>
      <c r="G7" s="6">
        <v>10.8</v>
      </c>
      <c r="H7" s="6">
        <v>11.4</v>
      </c>
      <c r="I7" s="6">
        <v>12.8</v>
      </c>
      <c r="J7" s="6">
        <v>7</v>
      </c>
      <c r="K7" s="6">
        <v>12.4</v>
      </c>
      <c r="L7" s="6">
        <v>11.9</v>
      </c>
      <c r="M7" s="6">
        <v>12.4</v>
      </c>
      <c r="N7" s="6">
        <v>11.6</v>
      </c>
      <c r="O7" s="6">
        <v>11.6</v>
      </c>
      <c r="P7" s="6">
        <v>12.1</v>
      </c>
      <c r="Q7" s="6">
        <v>12.4</v>
      </c>
      <c r="R7" s="6">
        <v>12.5</v>
      </c>
      <c r="S7" s="6">
        <v>12.4</v>
      </c>
      <c r="T7" s="25">
        <v>11.8</v>
      </c>
      <c r="U7" s="25">
        <v>12.6</v>
      </c>
      <c r="V7" s="25">
        <v>12.5</v>
      </c>
      <c r="W7" s="25">
        <v>13.8</v>
      </c>
      <c r="X7" s="25">
        <v>13</v>
      </c>
      <c r="Y7" s="25">
        <v>12.7</v>
      </c>
      <c r="Z7" s="25">
        <v>11.9</v>
      </c>
      <c r="AA7" s="25">
        <v>11.3</v>
      </c>
      <c r="AB7" s="25">
        <v>12.5</v>
      </c>
      <c r="AC7" s="25">
        <v>12.3</v>
      </c>
      <c r="AD7" s="25">
        <v>12.5</v>
      </c>
      <c r="AE7" s="25">
        <v>11.8</v>
      </c>
      <c r="AF7" s="25">
        <v>11.4</v>
      </c>
      <c r="AG7" s="25">
        <v>11.3</v>
      </c>
      <c r="AH7" s="25">
        <v>11.4</v>
      </c>
      <c r="AI7" s="25">
        <v>11.5</v>
      </c>
      <c r="AJ7" s="25">
        <v>11.5</v>
      </c>
      <c r="AK7" s="25">
        <v>12.3</v>
      </c>
      <c r="AL7" s="25">
        <v>11.7</v>
      </c>
      <c r="AM7" s="25">
        <v>12.5</v>
      </c>
    </row>
    <row r="8" spans="1:39" x14ac:dyDescent="0.25">
      <c r="A8" s="5">
        <v>6</v>
      </c>
      <c r="B8" s="6">
        <v>10.199999999999999</v>
      </c>
      <c r="C8" s="6">
        <v>12.3</v>
      </c>
      <c r="D8" s="6">
        <v>11</v>
      </c>
      <c r="E8" s="6">
        <v>12</v>
      </c>
      <c r="F8" s="15">
        <v>11.6</v>
      </c>
      <c r="G8" s="6">
        <v>12.4</v>
      </c>
      <c r="H8" s="6">
        <v>11.8</v>
      </c>
      <c r="I8" s="6">
        <v>12.2</v>
      </c>
      <c r="J8" s="6">
        <v>11.8</v>
      </c>
      <c r="K8" s="6">
        <v>11.6</v>
      </c>
      <c r="L8" s="6">
        <v>11.5</v>
      </c>
      <c r="M8" s="6">
        <v>12.6</v>
      </c>
      <c r="N8" s="6">
        <v>12.5</v>
      </c>
      <c r="O8" s="6">
        <v>12.2</v>
      </c>
      <c r="P8" s="6">
        <v>12.8</v>
      </c>
      <c r="Q8" s="6">
        <v>12.4</v>
      </c>
      <c r="R8" s="6">
        <v>12.1</v>
      </c>
      <c r="S8" s="6">
        <v>12.5</v>
      </c>
      <c r="T8" s="25">
        <v>11.7</v>
      </c>
      <c r="U8" s="25">
        <v>12.1</v>
      </c>
      <c r="V8" s="25">
        <v>12.7</v>
      </c>
      <c r="W8" s="25">
        <v>12.4</v>
      </c>
      <c r="X8" s="25">
        <v>11.9</v>
      </c>
      <c r="Y8" s="25">
        <v>11.6</v>
      </c>
      <c r="Z8" s="25">
        <v>12.7</v>
      </c>
      <c r="AA8" s="25">
        <v>12.4</v>
      </c>
      <c r="AB8" s="25">
        <v>12.4</v>
      </c>
      <c r="AC8" s="25">
        <v>11.2</v>
      </c>
      <c r="AD8" s="25">
        <v>12.1</v>
      </c>
      <c r="AE8" s="25">
        <v>12.3</v>
      </c>
      <c r="AF8" s="25">
        <v>11.3</v>
      </c>
      <c r="AG8" s="25">
        <v>12.2</v>
      </c>
      <c r="AH8" s="25">
        <v>11.9</v>
      </c>
      <c r="AI8" s="25">
        <v>12.4</v>
      </c>
      <c r="AJ8" s="25">
        <v>12.1</v>
      </c>
      <c r="AK8" s="25">
        <v>12.3</v>
      </c>
      <c r="AL8" s="25">
        <v>12</v>
      </c>
      <c r="AM8" s="25">
        <v>12.8</v>
      </c>
    </row>
    <row r="9" spans="1:39" x14ac:dyDescent="0.25">
      <c r="A9" s="5">
        <v>7</v>
      </c>
      <c r="B9" s="6">
        <v>11.2</v>
      </c>
      <c r="C9" s="6">
        <v>12.1</v>
      </c>
      <c r="D9" s="6">
        <v>12.2</v>
      </c>
      <c r="E9" s="6">
        <v>12.4</v>
      </c>
      <c r="F9" s="15">
        <v>12.4</v>
      </c>
      <c r="G9" s="6">
        <v>12.1</v>
      </c>
      <c r="H9" s="6">
        <v>12.7</v>
      </c>
      <c r="I9" s="6">
        <v>12.1</v>
      </c>
      <c r="J9" s="6">
        <v>12.1</v>
      </c>
      <c r="K9" s="6">
        <v>11.6</v>
      </c>
      <c r="L9" s="6">
        <v>11.3</v>
      </c>
      <c r="M9" s="6">
        <v>12.2</v>
      </c>
      <c r="N9" s="6">
        <v>11.8</v>
      </c>
      <c r="O9" s="6">
        <v>12.8</v>
      </c>
      <c r="P9" s="6">
        <v>12.7</v>
      </c>
      <c r="Q9" s="6">
        <v>12.1</v>
      </c>
      <c r="R9" s="6">
        <v>12</v>
      </c>
      <c r="S9" s="6">
        <v>12.1</v>
      </c>
      <c r="T9" s="25">
        <v>12.1</v>
      </c>
      <c r="U9" s="25">
        <v>12.4</v>
      </c>
      <c r="V9" s="25">
        <v>12.4</v>
      </c>
      <c r="W9" s="25">
        <v>12.4</v>
      </c>
      <c r="X9" s="25">
        <v>12.4</v>
      </c>
      <c r="Y9" s="25">
        <v>12.3</v>
      </c>
      <c r="Z9" s="25">
        <v>12.9</v>
      </c>
      <c r="AA9" s="25">
        <v>11.6</v>
      </c>
      <c r="AB9" s="25">
        <v>12.9</v>
      </c>
      <c r="AC9" s="25">
        <v>12.5</v>
      </c>
      <c r="AD9" s="25">
        <v>12.2</v>
      </c>
      <c r="AE9" s="25">
        <v>11.8</v>
      </c>
      <c r="AF9" s="25">
        <v>11.9</v>
      </c>
      <c r="AG9" s="25">
        <v>12.1</v>
      </c>
      <c r="AH9" s="25">
        <v>11.5</v>
      </c>
      <c r="AI9" s="25">
        <v>12</v>
      </c>
      <c r="AJ9" s="25">
        <v>12</v>
      </c>
      <c r="AK9" s="25">
        <v>12.4</v>
      </c>
      <c r="AL9" s="25">
        <v>11.4</v>
      </c>
      <c r="AM9" s="25">
        <v>11.8</v>
      </c>
    </row>
    <row r="10" spans="1:39" x14ac:dyDescent="0.25">
      <c r="A10" s="5">
        <v>8</v>
      </c>
      <c r="B10" s="6">
        <v>10.9</v>
      </c>
      <c r="C10" s="6">
        <v>11.9</v>
      </c>
      <c r="D10" s="6">
        <v>11.8</v>
      </c>
      <c r="E10" s="6">
        <v>12.6</v>
      </c>
      <c r="F10" s="15">
        <v>11.7</v>
      </c>
      <c r="G10" s="6">
        <v>11.2</v>
      </c>
      <c r="H10" s="6">
        <v>12.5</v>
      </c>
      <c r="I10" s="6">
        <v>12.6</v>
      </c>
      <c r="J10" s="6">
        <v>12.3</v>
      </c>
      <c r="K10" s="6">
        <v>12.7</v>
      </c>
      <c r="L10" s="6">
        <v>11.8</v>
      </c>
      <c r="M10" s="6">
        <v>12.9</v>
      </c>
      <c r="N10" s="6">
        <v>11.7</v>
      </c>
      <c r="O10" s="6">
        <v>12.1</v>
      </c>
      <c r="P10" s="6">
        <v>12.1</v>
      </c>
      <c r="Q10" s="6">
        <v>12.5</v>
      </c>
      <c r="R10" s="6">
        <v>11.2</v>
      </c>
      <c r="S10" s="6">
        <v>12</v>
      </c>
      <c r="T10" s="25">
        <v>12.1</v>
      </c>
      <c r="U10" s="25">
        <v>11.2</v>
      </c>
      <c r="V10" s="25">
        <v>12.4</v>
      </c>
      <c r="W10" s="25">
        <v>12.2</v>
      </c>
      <c r="X10" s="25">
        <v>12.4</v>
      </c>
      <c r="Y10" s="25">
        <v>11.7</v>
      </c>
      <c r="Z10" s="25">
        <v>12.7</v>
      </c>
      <c r="AA10" s="25">
        <v>11.5</v>
      </c>
      <c r="AB10" s="25">
        <v>12.8</v>
      </c>
      <c r="AC10" s="25">
        <v>12.3</v>
      </c>
      <c r="AD10" s="25">
        <v>12.4</v>
      </c>
      <c r="AE10" s="25">
        <v>12.8</v>
      </c>
      <c r="AF10" s="25">
        <v>12.3</v>
      </c>
      <c r="AG10" s="25">
        <v>12.2</v>
      </c>
      <c r="AH10" s="25">
        <v>12.1</v>
      </c>
      <c r="AI10" s="25">
        <v>11.5</v>
      </c>
      <c r="AJ10" s="25">
        <v>12.8</v>
      </c>
      <c r="AK10" s="25">
        <v>12.7</v>
      </c>
      <c r="AL10" s="25">
        <v>11.3</v>
      </c>
      <c r="AM10" s="25">
        <v>12.5</v>
      </c>
    </row>
    <row r="11" spans="1:39" x14ac:dyDescent="0.25">
      <c r="A11" s="5">
        <v>9</v>
      </c>
      <c r="B11" s="6">
        <v>10.9</v>
      </c>
      <c r="C11" s="6">
        <v>13.2</v>
      </c>
      <c r="D11" s="6">
        <v>11.9</v>
      </c>
      <c r="E11" s="6">
        <v>11.2</v>
      </c>
      <c r="F11" s="15">
        <v>11.8</v>
      </c>
      <c r="G11" s="6">
        <v>11.5</v>
      </c>
      <c r="H11" s="6">
        <v>12.1</v>
      </c>
      <c r="I11" s="6">
        <v>11.5</v>
      </c>
      <c r="J11" s="6">
        <v>11.4</v>
      </c>
      <c r="K11" s="6">
        <v>11.4</v>
      </c>
      <c r="L11" s="6">
        <v>11.8</v>
      </c>
      <c r="M11" s="6">
        <v>12.3</v>
      </c>
      <c r="N11" s="6">
        <v>12.3</v>
      </c>
      <c r="O11" s="6">
        <v>11.3</v>
      </c>
      <c r="P11" s="6">
        <v>12.2</v>
      </c>
      <c r="Q11" s="6">
        <v>11.7</v>
      </c>
      <c r="R11" s="6">
        <v>11.7</v>
      </c>
      <c r="S11" s="6">
        <v>12.4</v>
      </c>
      <c r="T11" s="25">
        <v>12.4</v>
      </c>
      <c r="U11" s="25">
        <v>12.3</v>
      </c>
      <c r="V11" s="25">
        <v>12.2</v>
      </c>
      <c r="W11" s="25">
        <v>12.7</v>
      </c>
      <c r="X11" s="25">
        <v>11.9</v>
      </c>
      <c r="Y11" s="25">
        <v>13</v>
      </c>
      <c r="Z11" s="25">
        <v>12.1</v>
      </c>
      <c r="AA11" s="25">
        <v>12.4</v>
      </c>
      <c r="AB11" s="25">
        <v>11.6</v>
      </c>
      <c r="AC11" s="25">
        <v>12.9</v>
      </c>
      <c r="AD11" s="25">
        <v>11.4</v>
      </c>
      <c r="AE11" s="25">
        <v>12.6</v>
      </c>
      <c r="AF11" s="25">
        <v>11.5</v>
      </c>
      <c r="AG11" s="25">
        <v>11.9</v>
      </c>
      <c r="AH11" s="25">
        <v>11.9</v>
      </c>
      <c r="AI11" s="25">
        <v>12.6</v>
      </c>
      <c r="AJ11" s="25">
        <v>12.1</v>
      </c>
      <c r="AK11" s="25">
        <v>11.7</v>
      </c>
      <c r="AL11" s="25">
        <v>12.6</v>
      </c>
      <c r="AM11" s="25">
        <v>12.9</v>
      </c>
    </row>
    <row r="12" spans="1:39" ht="15.75" thickBot="1" x14ac:dyDescent="0.3">
      <c r="A12" s="37">
        <v>10</v>
      </c>
      <c r="B12" s="38">
        <v>11.2</v>
      </c>
      <c r="C12" s="38">
        <v>12</v>
      </c>
      <c r="D12" s="38">
        <v>10.8</v>
      </c>
      <c r="E12" s="38">
        <v>11.6</v>
      </c>
      <c r="F12" s="39">
        <v>11.8</v>
      </c>
      <c r="G12" s="38">
        <v>12.3</v>
      </c>
      <c r="H12" s="38">
        <v>12.1</v>
      </c>
      <c r="I12" s="38">
        <v>12.7</v>
      </c>
      <c r="J12" s="38">
        <v>11.5</v>
      </c>
      <c r="K12" s="38">
        <v>12.6</v>
      </c>
      <c r="L12" s="38">
        <v>11.5</v>
      </c>
      <c r="M12" s="38">
        <v>11.7</v>
      </c>
      <c r="N12" s="38">
        <v>12.7</v>
      </c>
      <c r="O12" s="38">
        <v>11.2</v>
      </c>
      <c r="P12" s="38">
        <v>12.7</v>
      </c>
      <c r="Q12" s="38">
        <v>12.3</v>
      </c>
      <c r="R12" s="38">
        <v>12</v>
      </c>
      <c r="S12" s="38">
        <v>12.1</v>
      </c>
      <c r="T12" s="40">
        <v>12.3</v>
      </c>
      <c r="U12" s="40">
        <v>12.1</v>
      </c>
      <c r="V12" s="40">
        <v>12.6</v>
      </c>
      <c r="W12" s="40">
        <v>11.2</v>
      </c>
      <c r="X12" s="40">
        <v>12</v>
      </c>
      <c r="Y12" s="40">
        <v>11.9</v>
      </c>
      <c r="Z12" s="40">
        <v>12.1</v>
      </c>
      <c r="AA12" s="40">
        <v>12</v>
      </c>
      <c r="AB12" s="40">
        <v>11.8</v>
      </c>
      <c r="AC12" s="40">
        <v>12.6</v>
      </c>
      <c r="AD12" s="40">
        <v>11.9</v>
      </c>
      <c r="AE12" s="40">
        <v>11.7</v>
      </c>
      <c r="AF12" s="40">
        <v>12.1</v>
      </c>
      <c r="AG12" s="40">
        <v>12.4</v>
      </c>
      <c r="AH12" s="40">
        <v>12.3</v>
      </c>
      <c r="AI12" s="40">
        <v>11.4</v>
      </c>
      <c r="AJ12" s="40">
        <v>12.8</v>
      </c>
      <c r="AK12" s="40">
        <v>11.9</v>
      </c>
      <c r="AL12" s="40">
        <v>12</v>
      </c>
      <c r="AM12" s="40">
        <v>12.5</v>
      </c>
    </row>
    <row r="13" spans="1:39" x14ac:dyDescent="0.25">
      <c r="A13" s="3" t="s">
        <v>9</v>
      </c>
      <c r="B13" s="7">
        <f t="shared" ref="B13:AK13" si="0">AVERAGE(B3:B12)</f>
        <v>11.090000000000002</v>
      </c>
      <c r="C13" s="7">
        <f t="shared" si="0"/>
        <v>12.31</v>
      </c>
      <c r="D13" s="7">
        <f t="shared" si="0"/>
        <v>11.66</v>
      </c>
      <c r="E13" s="7">
        <f t="shared" si="0"/>
        <v>11.94</v>
      </c>
      <c r="F13" s="16">
        <f t="shared" si="0"/>
        <v>11.82</v>
      </c>
      <c r="G13" s="7">
        <f t="shared" si="0"/>
        <v>11.75</v>
      </c>
      <c r="H13" s="7">
        <f t="shared" si="0"/>
        <v>12.04</v>
      </c>
      <c r="I13" s="7">
        <f t="shared" si="0"/>
        <v>12.12</v>
      </c>
      <c r="J13" s="7">
        <f t="shared" si="0"/>
        <v>11.559999999999999</v>
      </c>
      <c r="K13" s="7">
        <f t="shared" si="0"/>
        <v>12.12</v>
      </c>
      <c r="L13" s="7">
        <f t="shared" si="0"/>
        <v>11.629999999999999</v>
      </c>
      <c r="M13" s="7">
        <f t="shared" si="0"/>
        <v>12.290000000000001</v>
      </c>
      <c r="N13" s="7">
        <f t="shared" si="0"/>
        <v>12.2</v>
      </c>
      <c r="O13" s="7">
        <f t="shared" si="0"/>
        <v>12.059999999999999</v>
      </c>
      <c r="P13" s="7">
        <f t="shared" si="0"/>
        <v>12.31</v>
      </c>
      <c r="Q13" s="7">
        <f t="shared" si="0"/>
        <v>12.419999999999998</v>
      </c>
      <c r="R13" s="7">
        <f t="shared" si="0"/>
        <v>11.93</v>
      </c>
      <c r="S13" s="7">
        <f t="shared" si="0"/>
        <v>12.02</v>
      </c>
      <c r="T13" s="7">
        <f t="shared" si="0"/>
        <v>11.93</v>
      </c>
      <c r="U13" s="7">
        <f t="shared" si="0"/>
        <v>12.17</v>
      </c>
      <c r="V13" s="7">
        <f t="shared" si="0"/>
        <v>12.31</v>
      </c>
      <c r="W13" s="7">
        <f t="shared" si="0"/>
        <v>12.390000000000002</v>
      </c>
      <c r="X13" s="7">
        <f t="shared" si="0"/>
        <v>11.960000000000003</v>
      </c>
      <c r="Y13" s="7">
        <f t="shared" si="0"/>
        <v>12.4</v>
      </c>
      <c r="Z13" s="7">
        <f t="shared" si="0"/>
        <v>12.36</v>
      </c>
      <c r="AA13" s="7">
        <f t="shared" si="0"/>
        <v>12.07</v>
      </c>
      <c r="AB13" s="7">
        <f t="shared" si="0"/>
        <v>12.1</v>
      </c>
      <c r="AC13" s="7">
        <f t="shared" si="0"/>
        <v>12.2</v>
      </c>
      <c r="AD13" s="7">
        <f t="shared" si="0"/>
        <v>12.060000000000002</v>
      </c>
      <c r="AE13" s="7">
        <f t="shared" si="0"/>
        <v>12.11</v>
      </c>
      <c r="AF13" s="7">
        <f t="shared" si="0"/>
        <v>11.79</v>
      </c>
      <c r="AG13" s="7">
        <f t="shared" si="0"/>
        <v>12.030000000000001</v>
      </c>
      <c r="AH13" s="7">
        <f t="shared" si="0"/>
        <v>11.919999999999998</v>
      </c>
      <c r="AI13" s="7">
        <f t="shared" si="0"/>
        <v>12.03</v>
      </c>
      <c r="AJ13" s="7">
        <f t="shared" si="0"/>
        <v>12.029999999999998</v>
      </c>
      <c r="AK13" s="7">
        <f t="shared" si="0"/>
        <v>12.200000000000001</v>
      </c>
      <c r="AL13" s="7">
        <f t="shared" ref="AL13:AM13" si="1">AVERAGE(AL3:AL12)</f>
        <v>11.75</v>
      </c>
      <c r="AM13" s="41">
        <f t="shared" si="1"/>
        <v>12.28</v>
      </c>
    </row>
    <row r="14" spans="1:39" x14ac:dyDescent="0.25">
      <c r="A14" s="4" t="s">
        <v>10</v>
      </c>
      <c r="B14" s="8">
        <f t="shared" ref="B14:AK14" si="2">_xlfn.STDEV.S(B3:B12)</f>
        <v>0.43063260959249755</v>
      </c>
      <c r="C14" s="8">
        <f t="shared" si="2"/>
        <v>0.39567101935263765</v>
      </c>
      <c r="D14" s="8">
        <f t="shared" si="2"/>
        <v>0.56411188803483125</v>
      </c>
      <c r="E14" s="8">
        <f t="shared" si="2"/>
        <v>0.45264653858047876</v>
      </c>
      <c r="F14" s="17">
        <f t="shared" si="2"/>
        <v>0.33928028399998611</v>
      </c>
      <c r="G14" s="8">
        <f t="shared" si="2"/>
        <v>0.57975090436420296</v>
      </c>
      <c r="H14" s="8">
        <f t="shared" si="2"/>
        <v>0.38355066303046714</v>
      </c>
      <c r="I14" s="8">
        <f t="shared" si="2"/>
        <v>0.53082744633051704</v>
      </c>
      <c r="J14" s="8">
        <f t="shared" si="2"/>
        <v>1.6627955042304257</v>
      </c>
      <c r="K14" s="8">
        <f t="shared" si="2"/>
        <v>0.53707024162994199</v>
      </c>
      <c r="L14" s="8">
        <f t="shared" si="2"/>
        <v>0.28303906287138353</v>
      </c>
      <c r="M14" s="8">
        <f t="shared" si="2"/>
        <v>0.42804464979978701</v>
      </c>
      <c r="N14" s="8">
        <f t="shared" si="2"/>
        <v>0.38297084310253526</v>
      </c>
      <c r="O14" s="8">
        <f t="shared" si="2"/>
        <v>0.63280679867116207</v>
      </c>
      <c r="P14" s="8">
        <f t="shared" si="2"/>
        <v>0.41486276177925513</v>
      </c>
      <c r="Q14" s="8">
        <f t="shared" si="2"/>
        <v>0.50508525133002169</v>
      </c>
      <c r="R14" s="8">
        <f t="shared" si="2"/>
        <v>0.3334999583541538</v>
      </c>
      <c r="S14" s="8">
        <f t="shared" si="2"/>
        <v>0.37947331922020555</v>
      </c>
      <c r="T14" s="8">
        <f t="shared" si="2"/>
        <v>0.44733780424988789</v>
      </c>
      <c r="U14" s="8">
        <f t="shared" si="2"/>
        <v>0.4877385456255115</v>
      </c>
      <c r="V14" s="8">
        <f t="shared" si="2"/>
        <v>0.54660568765589868</v>
      </c>
      <c r="W14" s="8">
        <f t="shared" si="2"/>
        <v>0.74004504367414492</v>
      </c>
      <c r="X14" s="8">
        <f t="shared" si="2"/>
        <v>0.51682793182171494</v>
      </c>
      <c r="Y14" s="8">
        <f t="shared" si="2"/>
        <v>0.59066817155564511</v>
      </c>
      <c r="Z14" s="8">
        <f t="shared" si="2"/>
        <v>0.53166405433005015</v>
      </c>
      <c r="AA14" s="8">
        <f t="shared" si="2"/>
        <v>0.49899899799498604</v>
      </c>
      <c r="AB14" s="8">
        <f t="shared" si="2"/>
        <v>0.50771820705759407</v>
      </c>
      <c r="AC14" s="8">
        <f t="shared" si="2"/>
        <v>0.47375568011839686</v>
      </c>
      <c r="AD14" s="8">
        <f t="shared" si="2"/>
        <v>0.41419265512024173</v>
      </c>
      <c r="AE14" s="8">
        <f t="shared" si="2"/>
        <v>0.43320510923425964</v>
      </c>
      <c r="AF14" s="8">
        <f t="shared" si="2"/>
        <v>0.42544094772365282</v>
      </c>
      <c r="AG14" s="8">
        <f t="shared" si="2"/>
        <v>0.36224607965059047</v>
      </c>
      <c r="AH14" s="8">
        <f t="shared" si="2"/>
        <v>0.43665394383500838</v>
      </c>
      <c r="AI14" s="8">
        <f t="shared" si="2"/>
        <v>0.45958918853931069</v>
      </c>
      <c r="AJ14" s="8">
        <f t="shared" si="2"/>
        <v>0.6147266781984404</v>
      </c>
      <c r="AK14" s="8">
        <f t="shared" si="2"/>
        <v>0.41633319989322665</v>
      </c>
      <c r="AL14" s="8">
        <f t="shared" ref="AL14:AM14" si="3">_xlfn.STDEV.S(AL3:AL12)</f>
        <v>0.40345728123033991</v>
      </c>
      <c r="AM14" s="42">
        <f t="shared" si="3"/>
        <v>0.41579909678700488</v>
      </c>
    </row>
    <row r="15" spans="1:39" x14ac:dyDescent="0.25">
      <c r="A15" s="4" t="s">
        <v>11</v>
      </c>
      <c r="B15" s="8">
        <f>B14/B13*100</f>
        <v>3.883071321843981</v>
      </c>
      <c r="C15" s="8">
        <f t="shared" ref="C15:AK15" si="4">C14/C13*100</f>
        <v>3.2142243651717113</v>
      </c>
      <c r="D15" s="8">
        <f t="shared" si="4"/>
        <v>4.8380093313450363</v>
      </c>
      <c r="E15" s="8">
        <f t="shared" si="4"/>
        <v>3.7910095358499061</v>
      </c>
      <c r="F15" s="17">
        <f t="shared" si="4"/>
        <v>2.8703915736039436</v>
      </c>
      <c r="G15" s="8">
        <f t="shared" si="4"/>
        <v>4.9340502499081103</v>
      </c>
      <c r="H15" s="8">
        <f t="shared" si="4"/>
        <v>3.1856367361334481</v>
      </c>
      <c r="I15" s="8">
        <f t="shared" si="4"/>
        <v>4.3797644086676328</v>
      </c>
      <c r="J15" s="8">
        <f t="shared" si="4"/>
        <v>14.384044154242437</v>
      </c>
      <c r="K15" s="8">
        <f t="shared" si="4"/>
        <v>4.4312726207090929</v>
      </c>
      <c r="L15" s="8">
        <f t="shared" si="4"/>
        <v>2.4336978750763851</v>
      </c>
      <c r="M15" s="8">
        <f t="shared" si="4"/>
        <v>3.4828694043920825</v>
      </c>
      <c r="N15" s="8">
        <f t="shared" si="4"/>
        <v>3.1391052713322565</v>
      </c>
      <c r="O15" s="8">
        <f t="shared" si="4"/>
        <v>5.2471542178371653</v>
      </c>
      <c r="P15" s="8">
        <f t="shared" si="4"/>
        <v>3.3701280404488636</v>
      </c>
      <c r="Q15" s="8">
        <f t="shared" si="4"/>
        <v>4.0667089479067773</v>
      </c>
      <c r="R15" s="8">
        <f t="shared" si="4"/>
        <v>2.7954732468914818</v>
      </c>
      <c r="S15" s="8">
        <f t="shared" si="4"/>
        <v>3.1570159668902296</v>
      </c>
      <c r="T15" s="8">
        <f t="shared" si="4"/>
        <v>3.7496882166796972</v>
      </c>
      <c r="U15" s="8">
        <f t="shared" si="4"/>
        <v>4.0077119607683773</v>
      </c>
      <c r="V15" s="8">
        <f t="shared" si="4"/>
        <v>4.4403386487075442</v>
      </c>
      <c r="W15" s="8">
        <f t="shared" si="4"/>
        <v>5.9729220635524198</v>
      </c>
      <c r="X15" s="8">
        <f t="shared" si="4"/>
        <v>4.3213037777735348</v>
      </c>
      <c r="Y15" s="8">
        <f t="shared" si="4"/>
        <v>4.7634529964164924</v>
      </c>
      <c r="Z15" s="8">
        <f t="shared" si="4"/>
        <v>4.3014891127026713</v>
      </c>
      <c r="AA15" s="8">
        <f t="shared" si="4"/>
        <v>4.1342087654928417</v>
      </c>
      <c r="AB15" s="8">
        <f t="shared" si="4"/>
        <v>4.1960182401454054</v>
      </c>
      <c r="AC15" s="8">
        <f t="shared" si="4"/>
        <v>3.8832432796589913</v>
      </c>
      <c r="AD15" s="8">
        <f t="shared" si="4"/>
        <v>3.4344332928709917</v>
      </c>
      <c r="AE15" s="8">
        <f t="shared" si="4"/>
        <v>3.5772511084579657</v>
      </c>
      <c r="AF15" s="8">
        <f t="shared" si="4"/>
        <v>3.6084898025755119</v>
      </c>
      <c r="AG15" s="8">
        <f t="shared" si="4"/>
        <v>3.0111893570290147</v>
      </c>
      <c r="AH15" s="8">
        <f t="shared" si="4"/>
        <v>3.6632042268037623</v>
      </c>
      <c r="AI15" s="8">
        <f t="shared" si="4"/>
        <v>3.8203590069768136</v>
      </c>
      <c r="AJ15" s="8">
        <f t="shared" si="4"/>
        <v>5.1099474496960973</v>
      </c>
      <c r="AK15" s="8">
        <f t="shared" si="4"/>
        <v>3.4125672122395625</v>
      </c>
      <c r="AL15" s="8">
        <f t="shared" ref="AL15:AM15" si="5">AL14/AL13*100</f>
        <v>3.4336789891943824</v>
      </c>
      <c r="AM15" s="42">
        <f t="shared" si="5"/>
        <v>3.3859861301873364</v>
      </c>
    </row>
    <row r="16" spans="1:39" x14ac:dyDescent="0.25">
      <c r="A16" s="4" t="s">
        <v>12</v>
      </c>
      <c r="B16" s="9">
        <f t="shared" ref="B16:AK16" si="6">MIN(B3:B12)</f>
        <v>10.199999999999999</v>
      </c>
      <c r="C16" s="9">
        <f t="shared" si="6"/>
        <v>11.9</v>
      </c>
      <c r="D16" s="9">
        <f t="shared" si="6"/>
        <v>10.8</v>
      </c>
      <c r="E16" s="9">
        <f t="shared" si="6"/>
        <v>11.2</v>
      </c>
      <c r="F16" s="18">
        <f t="shared" si="6"/>
        <v>11.4</v>
      </c>
      <c r="G16" s="9">
        <f t="shared" si="6"/>
        <v>10.8</v>
      </c>
      <c r="H16" s="9">
        <f t="shared" si="6"/>
        <v>11.4</v>
      </c>
      <c r="I16" s="9">
        <f t="shared" si="6"/>
        <v>11.2</v>
      </c>
      <c r="J16" s="9">
        <f t="shared" si="6"/>
        <v>7</v>
      </c>
      <c r="K16" s="9">
        <f t="shared" si="6"/>
        <v>11.4</v>
      </c>
      <c r="L16" s="9">
        <f t="shared" si="6"/>
        <v>11.3</v>
      </c>
      <c r="M16" s="9">
        <f t="shared" si="6"/>
        <v>11.5</v>
      </c>
      <c r="N16" s="9">
        <f t="shared" si="6"/>
        <v>11.6</v>
      </c>
      <c r="O16" s="9">
        <f t="shared" si="6"/>
        <v>11.2</v>
      </c>
      <c r="P16" s="9">
        <f t="shared" si="6"/>
        <v>11.5</v>
      </c>
      <c r="Q16" s="9">
        <f t="shared" si="6"/>
        <v>11.7</v>
      </c>
      <c r="R16" s="9">
        <f t="shared" si="6"/>
        <v>11.2</v>
      </c>
      <c r="S16" s="9">
        <f t="shared" si="6"/>
        <v>11.4</v>
      </c>
      <c r="T16" s="9">
        <f t="shared" si="6"/>
        <v>10.9</v>
      </c>
      <c r="U16" s="9">
        <f t="shared" si="6"/>
        <v>11.2</v>
      </c>
      <c r="V16" s="9">
        <f t="shared" si="6"/>
        <v>11.5</v>
      </c>
      <c r="W16" s="9">
        <f t="shared" si="6"/>
        <v>11.2</v>
      </c>
      <c r="X16" s="9">
        <f t="shared" si="6"/>
        <v>11.3</v>
      </c>
      <c r="Y16" s="9">
        <f t="shared" si="6"/>
        <v>11.6</v>
      </c>
      <c r="Z16" s="9">
        <f t="shared" si="6"/>
        <v>11.8</v>
      </c>
      <c r="AA16" s="9">
        <f t="shared" si="6"/>
        <v>11.3</v>
      </c>
      <c r="AB16" s="9">
        <f t="shared" si="6"/>
        <v>11.6</v>
      </c>
      <c r="AC16" s="9">
        <f t="shared" si="6"/>
        <v>11.2</v>
      </c>
      <c r="AD16" s="9">
        <f t="shared" si="6"/>
        <v>11.4</v>
      </c>
      <c r="AE16" s="9">
        <f t="shared" si="6"/>
        <v>11.7</v>
      </c>
      <c r="AF16" s="9">
        <f t="shared" si="6"/>
        <v>11.1</v>
      </c>
      <c r="AG16" s="9">
        <f t="shared" si="6"/>
        <v>11.3</v>
      </c>
      <c r="AH16" s="9">
        <f t="shared" si="6"/>
        <v>11.4</v>
      </c>
      <c r="AI16" s="9">
        <f t="shared" si="6"/>
        <v>11.4</v>
      </c>
      <c r="AJ16" s="9">
        <f t="shared" si="6"/>
        <v>10.9</v>
      </c>
      <c r="AK16" s="9">
        <f t="shared" si="6"/>
        <v>11.7</v>
      </c>
      <c r="AL16" s="9">
        <f t="shared" ref="AL16:AM16" si="7">MIN(AL3:AL12)</f>
        <v>11.3</v>
      </c>
      <c r="AM16" s="43">
        <f t="shared" si="7"/>
        <v>11.7</v>
      </c>
    </row>
    <row r="17" spans="1:39" ht="15.75" thickBot="1" x14ac:dyDescent="0.3">
      <c r="A17" s="10" t="s">
        <v>13</v>
      </c>
      <c r="B17" s="11">
        <f t="shared" ref="B17:AK17" si="8">MAX(B3:B12)</f>
        <v>11.7</v>
      </c>
      <c r="C17" s="11">
        <f t="shared" si="8"/>
        <v>13.2</v>
      </c>
      <c r="D17" s="11">
        <f t="shared" si="8"/>
        <v>12.6</v>
      </c>
      <c r="E17" s="11">
        <f t="shared" si="8"/>
        <v>12.6</v>
      </c>
      <c r="F17" s="19">
        <f t="shared" si="8"/>
        <v>12.4</v>
      </c>
      <c r="G17" s="11">
        <f t="shared" si="8"/>
        <v>12.4</v>
      </c>
      <c r="H17" s="11">
        <f t="shared" si="8"/>
        <v>12.7</v>
      </c>
      <c r="I17" s="11">
        <f t="shared" si="8"/>
        <v>12.8</v>
      </c>
      <c r="J17" s="11">
        <f t="shared" si="8"/>
        <v>12.9</v>
      </c>
      <c r="K17" s="11">
        <f t="shared" si="8"/>
        <v>13</v>
      </c>
      <c r="L17" s="11">
        <f t="shared" si="8"/>
        <v>12.2</v>
      </c>
      <c r="M17" s="11">
        <f t="shared" si="8"/>
        <v>12.9</v>
      </c>
      <c r="N17" s="11">
        <f t="shared" si="8"/>
        <v>12.7</v>
      </c>
      <c r="O17" s="11">
        <f t="shared" si="8"/>
        <v>13</v>
      </c>
      <c r="P17" s="11">
        <f t="shared" si="8"/>
        <v>12.8</v>
      </c>
      <c r="Q17" s="11">
        <f t="shared" si="8"/>
        <v>13.3</v>
      </c>
      <c r="R17" s="11">
        <f t="shared" si="8"/>
        <v>12.5</v>
      </c>
      <c r="S17" s="11">
        <f t="shared" si="8"/>
        <v>12.5</v>
      </c>
      <c r="T17" s="11">
        <f t="shared" si="8"/>
        <v>12.4</v>
      </c>
      <c r="U17" s="11">
        <f t="shared" si="8"/>
        <v>12.8</v>
      </c>
      <c r="V17" s="11">
        <f t="shared" si="8"/>
        <v>13.3</v>
      </c>
      <c r="W17" s="11">
        <f t="shared" si="8"/>
        <v>13.8</v>
      </c>
      <c r="X17" s="11">
        <f t="shared" si="8"/>
        <v>13</v>
      </c>
      <c r="Y17" s="11">
        <f t="shared" si="8"/>
        <v>13.4</v>
      </c>
      <c r="Z17" s="11">
        <f t="shared" si="8"/>
        <v>13.4</v>
      </c>
      <c r="AA17" s="11">
        <f t="shared" si="8"/>
        <v>12.9</v>
      </c>
      <c r="AB17" s="11">
        <f t="shared" si="8"/>
        <v>12.9</v>
      </c>
      <c r="AC17" s="11">
        <f t="shared" si="8"/>
        <v>12.9</v>
      </c>
      <c r="AD17" s="11">
        <f t="shared" si="8"/>
        <v>12.7</v>
      </c>
      <c r="AE17" s="11">
        <f t="shared" si="8"/>
        <v>12.8</v>
      </c>
      <c r="AF17" s="11">
        <f t="shared" si="8"/>
        <v>12.3</v>
      </c>
      <c r="AG17" s="11">
        <f t="shared" si="8"/>
        <v>12.6</v>
      </c>
      <c r="AH17" s="11">
        <f t="shared" si="8"/>
        <v>12.9</v>
      </c>
      <c r="AI17" s="11">
        <f t="shared" si="8"/>
        <v>12.6</v>
      </c>
      <c r="AJ17" s="11">
        <f t="shared" si="8"/>
        <v>12.8</v>
      </c>
      <c r="AK17" s="11">
        <f t="shared" si="8"/>
        <v>12.7</v>
      </c>
      <c r="AL17" s="11">
        <f t="shared" ref="AL17:AM17" si="9">MAX(AL3:AL12)</f>
        <v>12.6</v>
      </c>
      <c r="AM17" s="44">
        <f t="shared" si="9"/>
        <v>12.9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"/>
  <sheetViews>
    <sheetView tabSelected="1" topLeftCell="Z1" workbookViewId="0">
      <selection activeCell="AN4" sqref="AN4"/>
    </sheetView>
  </sheetViews>
  <sheetFormatPr defaultColWidth="8.85546875" defaultRowHeight="15" x14ac:dyDescent="0.25"/>
  <cols>
    <col min="1" max="1" width="26" customWidth="1"/>
    <col min="36" max="39" width="8.85546875" style="29"/>
  </cols>
  <sheetData>
    <row r="1" spans="1:39" x14ac:dyDescent="0.25">
      <c r="A1" s="1" t="s">
        <v>0</v>
      </c>
      <c r="B1" s="13">
        <v>950</v>
      </c>
      <c r="C1" s="13">
        <v>950</v>
      </c>
      <c r="D1" s="1">
        <v>1020</v>
      </c>
      <c r="E1" s="1">
        <v>1020</v>
      </c>
      <c r="F1" s="14">
        <v>1050</v>
      </c>
      <c r="G1" s="14">
        <v>1050</v>
      </c>
      <c r="H1" s="1">
        <v>1120</v>
      </c>
      <c r="I1" s="1">
        <v>1120</v>
      </c>
      <c r="J1" s="1">
        <v>1250</v>
      </c>
      <c r="K1" s="1">
        <v>1250</v>
      </c>
      <c r="L1" s="1">
        <v>1320</v>
      </c>
      <c r="M1" s="1">
        <v>1320</v>
      </c>
      <c r="N1" s="1">
        <v>1350</v>
      </c>
      <c r="O1" s="1">
        <v>1350</v>
      </c>
      <c r="P1" s="14">
        <v>1420</v>
      </c>
      <c r="Q1" s="14">
        <v>1420</v>
      </c>
      <c r="R1" s="14">
        <v>1450</v>
      </c>
      <c r="S1" s="14">
        <v>1450</v>
      </c>
      <c r="T1" s="14">
        <v>1520</v>
      </c>
      <c r="U1" s="14">
        <v>1520</v>
      </c>
      <c r="V1" s="14">
        <v>1550</v>
      </c>
      <c r="W1" s="14">
        <v>1550</v>
      </c>
      <c r="X1" s="14">
        <v>1620</v>
      </c>
      <c r="Y1" s="14">
        <v>1620</v>
      </c>
      <c r="Z1" s="14">
        <v>1800</v>
      </c>
      <c r="AA1" s="14">
        <v>1800</v>
      </c>
      <c r="AB1" s="14">
        <v>1830</v>
      </c>
      <c r="AC1" s="14">
        <v>1830</v>
      </c>
      <c r="AD1" s="14">
        <v>1900</v>
      </c>
      <c r="AE1" s="14">
        <v>1900</v>
      </c>
      <c r="AF1" s="14">
        <v>1930</v>
      </c>
      <c r="AG1" s="14">
        <v>1930</v>
      </c>
      <c r="AH1" s="14">
        <v>2000</v>
      </c>
      <c r="AI1" s="14">
        <v>2000</v>
      </c>
      <c r="AJ1" s="32">
        <v>2030</v>
      </c>
      <c r="AK1" s="32">
        <v>2030</v>
      </c>
      <c r="AL1" s="33">
        <v>2041</v>
      </c>
      <c r="AM1" s="33">
        <v>2041</v>
      </c>
    </row>
    <row r="2" spans="1:39" x14ac:dyDescent="0.25">
      <c r="A2" s="1" t="s">
        <v>1</v>
      </c>
      <c r="B2" s="1">
        <v>1</v>
      </c>
      <c r="C2" s="1">
        <v>2</v>
      </c>
      <c r="D2" s="1">
        <v>1</v>
      </c>
      <c r="E2" s="1">
        <v>2</v>
      </c>
      <c r="F2" s="14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  <c r="N2" s="1">
        <v>1</v>
      </c>
      <c r="O2" s="1">
        <v>2</v>
      </c>
      <c r="P2" s="1">
        <v>1</v>
      </c>
      <c r="Q2" s="1">
        <v>2</v>
      </c>
      <c r="R2" s="1">
        <v>1</v>
      </c>
      <c r="S2" s="1">
        <v>2</v>
      </c>
      <c r="T2" s="1">
        <v>1</v>
      </c>
      <c r="U2" s="1">
        <v>2</v>
      </c>
      <c r="V2" s="1">
        <v>1</v>
      </c>
      <c r="W2" s="1">
        <v>2</v>
      </c>
      <c r="X2" s="1">
        <v>1</v>
      </c>
      <c r="Y2" s="1">
        <v>2</v>
      </c>
      <c r="Z2" s="1">
        <v>1</v>
      </c>
      <c r="AA2" s="1">
        <v>2</v>
      </c>
      <c r="AB2" s="1">
        <v>1</v>
      </c>
      <c r="AC2" s="1">
        <v>2</v>
      </c>
      <c r="AD2" s="1">
        <v>1</v>
      </c>
      <c r="AE2" s="1">
        <v>2</v>
      </c>
      <c r="AF2" s="1">
        <v>1</v>
      </c>
      <c r="AG2" s="1">
        <v>2</v>
      </c>
      <c r="AH2" s="1">
        <v>1</v>
      </c>
      <c r="AI2" s="1">
        <v>2</v>
      </c>
      <c r="AJ2" s="34">
        <v>1</v>
      </c>
      <c r="AK2" s="34">
        <v>2</v>
      </c>
      <c r="AL2" s="34">
        <v>1</v>
      </c>
      <c r="AM2" s="34">
        <v>2</v>
      </c>
    </row>
    <row r="3" spans="1:39" x14ac:dyDescent="0.25">
      <c r="A3" s="1" t="s">
        <v>2</v>
      </c>
      <c r="B3" s="6">
        <v>1.8</v>
      </c>
      <c r="C3" s="6">
        <v>1.9</v>
      </c>
      <c r="D3" s="6">
        <v>1.8</v>
      </c>
      <c r="E3" s="6">
        <v>1.9</v>
      </c>
      <c r="F3" s="6">
        <v>1.8</v>
      </c>
      <c r="G3" s="6">
        <v>1.9</v>
      </c>
      <c r="H3" s="6">
        <v>1.8</v>
      </c>
      <c r="I3" s="6">
        <v>1.9</v>
      </c>
      <c r="J3" s="6">
        <v>1.8</v>
      </c>
      <c r="K3" s="6">
        <v>1.9</v>
      </c>
      <c r="L3" s="6">
        <v>1.8</v>
      </c>
      <c r="M3" s="6">
        <v>1.9</v>
      </c>
      <c r="N3" s="6">
        <v>1.8</v>
      </c>
      <c r="O3" s="6">
        <v>1.9</v>
      </c>
      <c r="P3" s="6">
        <v>1.8</v>
      </c>
      <c r="Q3" s="6">
        <v>1.9</v>
      </c>
      <c r="R3" s="6">
        <v>1.9</v>
      </c>
      <c r="S3" s="6">
        <v>2</v>
      </c>
      <c r="T3" s="6">
        <v>1.9</v>
      </c>
      <c r="U3" s="6">
        <v>2</v>
      </c>
      <c r="V3" s="6">
        <v>1.9</v>
      </c>
      <c r="W3" s="6">
        <v>2</v>
      </c>
      <c r="X3" s="6">
        <v>1.9</v>
      </c>
      <c r="Y3" s="6">
        <v>2</v>
      </c>
      <c r="Z3" s="6">
        <v>1.9</v>
      </c>
      <c r="AA3" s="6">
        <v>1.9</v>
      </c>
      <c r="AB3" s="6">
        <v>1.9</v>
      </c>
      <c r="AC3" s="6">
        <v>2</v>
      </c>
      <c r="AD3" s="6">
        <v>1.9</v>
      </c>
      <c r="AE3" s="6">
        <v>2</v>
      </c>
      <c r="AF3" s="6">
        <v>1.9</v>
      </c>
      <c r="AG3" s="6">
        <v>2</v>
      </c>
      <c r="AH3" s="6">
        <v>1.9</v>
      </c>
      <c r="AI3" s="6">
        <v>2</v>
      </c>
      <c r="AJ3" s="25">
        <v>1.9</v>
      </c>
      <c r="AK3" s="25">
        <v>2</v>
      </c>
      <c r="AL3" s="22">
        <v>1.9</v>
      </c>
      <c r="AM3" s="22">
        <v>2</v>
      </c>
    </row>
    <row r="4" spans="1:39" x14ac:dyDescent="0.25">
      <c r="A4" s="1" t="s">
        <v>3</v>
      </c>
      <c r="B4" s="6">
        <v>9</v>
      </c>
      <c r="C4" s="6">
        <v>9.3000000000000007</v>
      </c>
      <c r="D4" s="6">
        <v>9.1999999999999993</v>
      </c>
      <c r="E4" s="6">
        <v>9.1</v>
      </c>
      <c r="F4" s="6">
        <v>9.1999999999999993</v>
      </c>
      <c r="G4" s="6">
        <v>9.1</v>
      </c>
      <c r="H4" s="6">
        <v>9.3000000000000007</v>
      </c>
      <c r="I4" s="6">
        <v>9</v>
      </c>
      <c r="J4" s="6">
        <v>9.3000000000000007</v>
      </c>
      <c r="K4" s="6">
        <v>9</v>
      </c>
      <c r="L4" s="6">
        <v>9.1999999999999993</v>
      </c>
      <c r="M4" s="6">
        <v>9</v>
      </c>
      <c r="N4" s="6">
        <v>9.3000000000000007</v>
      </c>
      <c r="O4" s="6">
        <v>9</v>
      </c>
      <c r="P4" s="6">
        <v>9.3000000000000007</v>
      </c>
      <c r="Q4" s="6">
        <v>9.1</v>
      </c>
      <c r="R4" s="30">
        <v>9.3000000000000007</v>
      </c>
      <c r="S4" s="6">
        <v>9.1</v>
      </c>
      <c r="T4" s="25">
        <v>9.4</v>
      </c>
      <c r="U4" s="25">
        <v>9.1999999999999993</v>
      </c>
      <c r="V4" s="25">
        <v>9.4</v>
      </c>
      <c r="W4" s="25">
        <v>9.1999999999999993</v>
      </c>
      <c r="X4" s="25">
        <v>9.5</v>
      </c>
      <c r="Y4" s="25">
        <v>9.1999999999999993</v>
      </c>
      <c r="Z4" s="25">
        <v>9.5</v>
      </c>
      <c r="AA4" s="25">
        <v>9.1999999999999993</v>
      </c>
      <c r="AB4" s="25">
        <v>9.5</v>
      </c>
      <c r="AC4" s="25">
        <v>9.3000000000000007</v>
      </c>
      <c r="AD4" s="25">
        <v>9.4</v>
      </c>
      <c r="AE4" s="25">
        <v>9.3000000000000007</v>
      </c>
      <c r="AF4" s="25">
        <v>9.3000000000000007</v>
      </c>
      <c r="AG4" s="25">
        <v>9.1</v>
      </c>
      <c r="AH4" s="25">
        <v>9.3000000000000007</v>
      </c>
      <c r="AI4" s="25">
        <v>9.1999999999999993</v>
      </c>
      <c r="AJ4" s="25">
        <v>9.3000000000000007</v>
      </c>
      <c r="AK4" s="25">
        <v>9.1999999999999993</v>
      </c>
      <c r="AL4" s="22">
        <v>9.4</v>
      </c>
      <c r="AM4" s="22">
        <v>9.1999999999999993</v>
      </c>
    </row>
    <row r="5" spans="1:39" x14ac:dyDescent="0.25">
      <c r="A5" s="1" t="s">
        <v>4</v>
      </c>
      <c r="B5" s="2">
        <v>15</v>
      </c>
      <c r="C5" s="2">
        <v>15</v>
      </c>
      <c r="D5" s="2">
        <v>15</v>
      </c>
      <c r="E5" s="2">
        <v>15</v>
      </c>
      <c r="F5" s="2">
        <v>15</v>
      </c>
      <c r="G5" s="2">
        <v>15</v>
      </c>
      <c r="H5" s="2">
        <v>15</v>
      </c>
      <c r="I5" s="2">
        <v>15</v>
      </c>
      <c r="J5" s="2">
        <v>15</v>
      </c>
      <c r="K5" s="2">
        <v>15</v>
      </c>
      <c r="L5" s="2">
        <v>15</v>
      </c>
      <c r="M5" s="2">
        <v>15</v>
      </c>
      <c r="N5" s="2">
        <v>15</v>
      </c>
      <c r="O5" s="2">
        <v>15</v>
      </c>
      <c r="P5" s="2">
        <v>15</v>
      </c>
      <c r="Q5" s="2">
        <v>15</v>
      </c>
      <c r="R5" s="2">
        <v>15</v>
      </c>
      <c r="S5" s="2">
        <v>15</v>
      </c>
      <c r="T5" s="2">
        <v>15</v>
      </c>
      <c r="U5" s="2">
        <v>15</v>
      </c>
      <c r="V5" s="2">
        <v>15</v>
      </c>
      <c r="W5" s="2">
        <v>15</v>
      </c>
      <c r="X5" s="2">
        <v>15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15</v>
      </c>
      <c r="AF5" s="2">
        <v>15</v>
      </c>
      <c r="AG5" s="2">
        <v>15</v>
      </c>
      <c r="AH5" s="2">
        <v>15</v>
      </c>
      <c r="AI5" s="2">
        <v>15</v>
      </c>
      <c r="AJ5" s="22">
        <v>15</v>
      </c>
      <c r="AK5" s="22">
        <v>15</v>
      </c>
      <c r="AL5" s="22">
        <v>15</v>
      </c>
      <c r="AM5" s="22">
        <v>15</v>
      </c>
    </row>
    <row r="6" spans="1:39" x14ac:dyDescent="0.25">
      <c r="A6" s="1" t="s">
        <v>5</v>
      </c>
      <c r="B6" s="2">
        <v>2400</v>
      </c>
      <c r="C6" s="2">
        <v>2400</v>
      </c>
      <c r="D6" s="2">
        <v>2400</v>
      </c>
      <c r="E6" s="2">
        <v>2400</v>
      </c>
      <c r="F6" s="2">
        <v>2400</v>
      </c>
      <c r="G6" s="2">
        <v>2400</v>
      </c>
      <c r="H6" s="2">
        <v>2400</v>
      </c>
      <c r="I6" s="2">
        <v>2400</v>
      </c>
      <c r="J6" s="2">
        <v>2400</v>
      </c>
      <c r="K6" s="2">
        <v>2400</v>
      </c>
      <c r="L6" s="2">
        <v>2400</v>
      </c>
      <c r="M6" s="2">
        <v>2400</v>
      </c>
      <c r="N6" s="2">
        <v>2400</v>
      </c>
      <c r="O6" s="2">
        <v>2400</v>
      </c>
      <c r="P6" s="2">
        <v>2400</v>
      </c>
      <c r="Q6" s="2">
        <v>2400</v>
      </c>
      <c r="R6" s="20">
        <v>2400</v>
      </c>
      <c r="S6" s="2">
        <v>2400</v>
      </c>
      <c r="T6" s="2">
        <v>2400</v>
      </c>
      <c r="U6" s="2">
        <v>2400</v>
      </c>
      <c r="V6" s="2">
        <v>2400</v>
      </c>
      <c r="W6" s="2">
        <v>2400</v>
      </c>
      <c r="X6" s="2">
        <v>2400</v>
      </c>
      <c r="Y6" s="2">
        <v>2400</v>
      </c>
      <c r="Z6" s="2">
        <v>2400</v>
      </c>
      <c r="AA6" s="2">
        <v>2400</v>
      </c>
      <c r="AB6" s="2">
        <v>2400</v>
      </c>
      <c r="AC6" s="2">
        <v>2400</v>
      </c>
      <c r="AD6" s="2">
        <v>2400</v>
      </c>
      <c r="AE6" s="2">
        <v>2400</v>
      </c>
      <c r="AF6" s="2">
        <v>2400</v>
      </c>
      <c r="AG6" s="2">
        <v>2400</v>
      </c>
      <c r="AH6" s="2">
        <v>2400</v>
      </c>
      <c r="AI6" s="2">
        <v>2400</v>
      </c>
      <c r="AJ6" s="22">
        <v>2400</v>
      </c>
      <c r="AK6" s="22">
        <v>2400</v>
      </c>
      <c r="AL6" s="22">
        <v>2400</v>
      </c>
      <c r="AM6" s="22">
        <v>2400</v>
      </c>
    </row>
    <row r="7" spans="1:39" x14ac:dyDescent="0.25">
      <c r="A7" s="1" t="s">
        <v>6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0">
        <v>5</v>
      </c>
      <c r="S7" s="2">
        <v>5</v>
      </c>
      <c r="T7" s="2">
        <v>5</v>
      </c>
      <c r="U7" s="2">
        <v>5</v>
      </c>
      <c r="V7" s="2">
        <v>5</v>
      </c>
      <c r="W7" s="2">
        <v>5</v>
      </c>
      <c r="X7" s="2">
        <v>5</v>
      </c>
      <c r="Y7" s="2">
        <v>5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2">
        <v>5</v>
      </c>
      <c r="AH7" s="2">
        <v>5</v>
      </c>
      <c r="AI7" s="2">
        <v>5</v>
      </c>
      <c r="AJ7" s="22">
        <v>5</v>
      </c>
      <c r="AK7" s="22">
        <v>5</v>
      </c>
      <c r="AL7" s="22">
        <v>5</v>
      </c>
      <c r="AM7" s="22">
        <v>5</v>
      </c>
    </row>
    <row r="8" spans="1:39" x14ac:dyDescent="0.25">
      <c r="A8" s="1" t="s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0" t="s">
        <v>8</v>
      </c>
      <c r="S8" s="23" t="s">
        <v>8</v>
      </c>
      <c r="T8" s="23" t="s">
        <v>8</v>
      </c>
      <c r="U8" s="23" t="s">
        <v>8</v>
      </c>
      <c r="V8" s="23" t="s">
        <v>8</v>
      </c>
      <c r="W8" s="23" t="s">
        <v>8</v>
      </c>
      <c r="X8" s="23" t="s">
        <v>8</v>
      </c>
      <c r="Y8" s="23" t="s">
        <v>8</v>
      </c>
      <c r="Z8" s="23" t="s">
        <v>8</v>
      </c>
      <c r="AA8" s="23" t="s">
        <v>8</v>
      </c>
      <c r="AB8" s="23" t="s">
        <v>8</v>
      </c>
      <c r="AC8" s="23" t="s">
        <v>8</v>
      </c>
      <c r="AD8" s="23" t="s">
        <v>8</v>
      </c>
      <c r="AE8" s="23" t="s">
        <v>8</v>
      </c>
      <c r="AF8" s="23" t="s">
        <v>8</v>
      </c>
      <c r="AG8" s="23" t="s">
        <v>8</v>
      </c>
      <c r="AH8" s="23" t="s">
        <v>8</v>
      </c>
      <c r="AI8" s="23" t="s">
        <v>8</v>
      </c>
      <c r="AJ8" s="35" t="s">
        <v>8</v>
      </c>
      <c r="AK8" s="22" t="s">
        <v>8</v>
      </c>
      <c r="AL8" s="22" t="s">
        <v>8</v>
      </c>
      <c r="AM8" s="22" t="s">
        <v>8</v>
      </c>
    </row>
    <row r="9" spans="1:39" x14ac:dyDescent="0.25"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31"/>
      <c r="AK9" s="36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9473-DC07-45B7-B685-D7835102F443}">
  <dimension ref="A1:B2"/>
  <sheetViews>
    <sheetView workbookViewId="0">
      <selection activeCell="B1" sqref="B1:B3"/>
    </sheetView>
  </sheetViews>
  <sheetFormatPr defaultColWidth="8.85546875" defaultRowHeight="15" x14ac:dyDescent="0.25"/>
  <cols>
    <col min="2" max="2" width="24" customWidth="1"/>
  </cols>
  <sheetData>
    <row r="1" spans="1:2" x14ac:dyDescent="0.25">
      <c r="A1" t="s">
        <v>14</v>
      </c>
      <c r="B1" s="12"/>
    </row>
    <row r="2" spans="1:2" x14ac:dyDescent="0.25">
      <c r="A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B6BD5A17A89349B4D88CD6EE230E1D" ma:contentTypeVersion="12" ma:contentTypeDescription="Create a new document." ma:contentTypeScope="" ma:versionID="0ba3a936cc42a9ecd80064dd6bece9d5">
  <xsd:schema xmlns:xsd="http://www.w3.org/2001/XMLSchema" xmlns:xs="http://www.w3.org/2001/XMLSchema" xmlns:p="http://schemas.microsoft.com/office/2006/metadata/properties" xmlns:ns2="ff766391-4a1f-4df4-b069-8e2c458e2a1e" xmlns:ns3="2f5a9a10-e550-4b3a-ad37-110762c8539b" targetNamespace="http://schemas.microsoft.com/office/2006/metadata/properties" ma:root="true" ma:fieldsID="6c550374709735a826fc8cde3b0976c4" ns2:_="" ns3:_="">
    <xsd:import namespace="ff766391-4a1f-4df4-b069-8e2c458e2a1e"/>
    <xsd:import namespace="2f5a9a10-e550-4b3a-ad37-110762c853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66391-4a1f-4df4-b069-8e2c458e2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a9a10-e550-4b3a-ad37-110762c8539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175DB5-0423-408F-9D0D-667B302435EB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d23e512-f968-4495-a1ec-a2ef9115075f"/>
    <ds:schemaRef ds:uri="0d88151d-28e2-443c-8873-17f48449766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A8C770-6244-480F-90AA-A2FA9880C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98FF58-9FB5-46CF-9DFA-2C1895262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Weight</vt:lpstr>
      <vt:lpstr>Thickness</vt:lpstr>
      <vt:lpstr>Hardness</vt:lpstr>
      <vt:lpstr>IP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Abedini, Amin</dc:creator>
  <cp:lastModifiedBy>Abedini, Amin</cp:lastModifiedBy>
  <dcterms:created xsi:type="dcterms:W3CDTF">2015-06-05T18:17:20Z</dcterms:created>
  <dcterms:modified xsi:type="dcterms:W3CDTF">2022-05-10T08:48:43Z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0x0101008AB6BD5A17A89349B4D88CD6EE230E1D</vt:lpwstr>
  </property>
</Properties>
</file>